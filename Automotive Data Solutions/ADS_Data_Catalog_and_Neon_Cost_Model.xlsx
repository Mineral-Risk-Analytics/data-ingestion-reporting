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ource Catalog" sheetId="1" state="visible" r:id="rId3"/>
    <sheet name="Neon Storage Estimates" sheetId="2" state="visible" r:id="rId4"/>
    <sheet name="Neon Cos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<sst xmlns="http://schemas.openxmlformats.org/spreadsheetml/2006/main" count="300" uniqueCount="246">
  <si>
    <t xml:space="preserve">ADS — Data Source Catalog  |  Battery Supply Chain Intelligence</t>
  </si>
  <si>
    <t xml:space="preserve">Source Name</t>
  </si>
  <si>
    <t xml:space="preserve">Provider</t>
  </si>
  <si>
    <t xml:space="preserve">Data Type</t>
  </si>
  <si>
    <t xml:space="preserve">Maps To (Schema Table)</t>
  </si>
  <si>
    <t xml:space="preserve">Cost Tier</t>
  </si>
  <si>
    <t xml:space="preserve">Extraction Method</t>
  </si>
  <si>
    <t xml:space="preserve">Update Frequency</t>
  </si>
  <si>
    <t xml:space="preserve">Est. Annual Volume</t>
  </si>
  <si>
    <t xml:space="preserve">Free Tier Limit</t>
  </si>
  <si>
    <t xml:space="preserve">Priority</t>
  </si>
  <si>
    <t xml:space="preserve">URL / Access Point</t>
  </si>
  <si>
    <t xml:space="preserve">Notes</t>
  </si>
  <si>
    <t xml:space="preserve">Mineral Commodity Summaries</t>
  </si>
  <si>
    <t xml:space="preserve">USGS</t>
  </si>
  <si>
    <t xml:space="preserve">Critical mineral stats, reserves, production by country</t>
  </si>
  <si>
    <t xml:space="preserve">materials, commodity_prices</t>
  </si>
  <si>
    <t xml:space="preserve">Free</t>
  </si>
  <si>
    <t xml:space="preserve">Bulk download (XLS/PDF)</t>
  </si>
  <si>
    <t xml:space="preserve">Annual</t>
  </si>
  <si>
    <t xml:space="preserve">~90 minerals × 180 countries</t>
  </si>
  <si>
    <t xml:space="preserve">Unlimited — public domain</t>
  </si>
  <si>
    <t xml:space="preserve">High</t>
  </si>
  <si>
    <t xml:space="preserve">https://pubs.usgs.gov/publication/mcs2025</t>
  </si>
  <si>
    <t xml:space="preserve">Best starting point for material criticality scores and primary producing countries. Covers all 50+ materials on the 2025 critical minerals list.</t>
  </si>
  <si>
    <t xml:space="preserve">UN Comtrade API</t>
  </si>
  <si>
    <t xml:space="preserve">United Nations</t>
  </si>
  <si>
    <t xml:space="preserve">Bilateral trade flows by HS code, country, year</t>
  </si>
  <si>
    <t xml:space="preserve">trade_flows</t>
  </si>
  <si>
    <t xml:space="preserve">Freemium</t>
  </si>
  <si>
    <t xml:space="preserve">REST API (JSON)</t>
  </si>
  <si>
    <t xml:space="preserve">Monthly (data lags ~3 months)</t>
  </si>
  <si>
    <t xml:space="preserve">~500K rows/year for target HS codes</t>
  </si>
  <si>
    <t xml:space="preserve">500 calls/day · 100K rows/call (free token)</t>
  </si>
  <si>
    <t xml:space="preserve">https://comtradedeveloper.un.org/</t>
  </si>
  <si>
    <t xml:space="preserve">Filter to HS prefixes in supply_chain_contexts: 8507, 2825, 2836, 2604, 2602, 2501. Full history available. Free tier is sufficient for targeted pulls.</t>
  </si>
  <si>
    <t xml:space="preserve">SEC EDGAR Full-Text Search</t>
  </si>
  <si>
    <t xml:space="preserve">SEC</t>
  </si>
  <si>
    <t xml:space="preserve">10-K, 10-Q, 8-K filings for public companies</t>
  </si>
  <si>
    <t xml:space="preserve">source_documents, risk_events, companies</t>
  </si>
  <si>
    <t xml:space="preserve">REST API (JSON/XBRL)</t>
  </si>
  <si>
    <t xml:space="preserve">Continuous (filings as filed)</t>
  </si>
  <si>
    <t xml:space="preserve">~50K relevant filings/year</t>
  </si>
  <si>
    <t xml:space="preserve">Unlimited — public record</t>
  </si>
  <si>
    <t xml:space="preserve">https://efts.sec.gov/LATEST/search-index?q=%22lithium%22&amp;dateRange=custom</t>
  </si>
  <si>
    <t xml:space="preserve">Rich source for company financial health, supply chain disclosures, and regulatory risk. Use full-text search to filter for battery/mineral mentions.</t>
  </si>
  <si>
    <t xml:space="preserve">World Bank Commodity Price Data (Pink Sheet)</t>
  </si>
  <si>
    <t xml:space="preserve">World Bank</t>
  </si>
  <si>
    <t xml:space="preserve">Monthly commodity spot prices — cobalt, lithium, nickel, etc.</t>
  </si>
  <si>
    <t xml:space="preserve">commodity_prices</t>
  </si>
  <si>
    <t xml:space="preserve">Bulk download (XLS)</t>
  </si>
  <si>
    <t xml:space="preserve">Monthly</t>
  </si>
  <si>
    <t xml:space="preserve">~100 commodities × 40 years of history</t>
  </si>
  <si>
    <t xml:space="preserve">Unlimited — open data</t>
  </si>
  <si>
    <t xml:space="preserve">https://www.worldbank.org/en/research/commodity-markets</t>
  </si>
  <si>
    <t xml:space="preserve">Clean, consistently formatted historical prices. Covers key battery materials. Download the full Excel file monthly — no API needed.</t>
  </si>
  <si>
    <t xml:space="preserve">EUR-Lex (EU Legislation)</t>
  </si>
  <si>
    <t xml:space="preserve">European Union</t>
  </si>
  <si>
    <t xml:space="preserve">EU regulations: Battery Regulation, CRMA, CBAM, REACH</t>
  </si>
  <si>
    <t xml:space="preserve">regulations, source_documents</t>
  </si>
  <si>
    <t xml:space="preserve">REST API / bulk download</t>
  </si>
  <si>
    <t xml:space="preserve">Continuous</t>
  </si>
  <si>
    <t xml:space="preserve">Hundreds of relevant instruments</t>
  </si>
  <si>
    <t xml:space="preserve">https://eur-lex.europa.eu/homepage.html</t>
  </si>
  <si>
    <t xml:space="preserve">Critical for EU Battery Regulation (2023/1542), CRMA, and CBAM compliance detection. Full text available via API. Target regulation_material_scope entries for lithium, cobalt, graphite.</t>
  </si>
  <si>
    <t xml:space="preserve">Federal Register API</t>
  </si>
  <si>
    <t xml:space="preserve">U.S. National Archives</t>
  </si>
  <si>
    <t xml:space="preserve">US federal regulations, EOs, proposed rules</t>
  </si>
  <si>
    <t xml:space="preserve">regulations, source_documents, risk_events</t>
  </si>
  <si>
    <t xml:space="preserve">Daily</t>
  </si>
  <si>
    <t xml:space="preserve">~100–200 relevant rules/year</t>
  </si>
  <si>
    <t xml:space="preserve">https://www.federalregister.gov/api/v1/</t>
  </si>
  <si>
    <t xml:space="preserve">Monitor for IRA implementation rules, DOE critical mineral orders, EPA battery recycling rules. Filter by agency and keyword.</t>
  </si>
  <si>
    <t xml:space="preserve">OpenSanctions</t>
  </si>
  <si>
    <t xml:space="preserve">Sanctions lists: OFAC, EU, UN — entities and individuals</t>
  </si>
  <si>
    <t xml:space="preserve">risk_events, companies</t>
  </si>
  <si>
    <t xml:space="preserve">Bulk download (JSON/CSV) or API</t>
  </si>
  <si>
    <t xml:space="preserve">~500K sanctioned entities</t>
  </si>
  <si>
    <t xml:space="preserve">Bulk download free for non-commercial; API 10K calls/month free</t>
  </si>
  <si>
    <t xml:space="preserve">https://www.opensanctions.org/</t>
  </si>
  <si>
    <t xml:space="preserve">Essential for geopolitical risk scoring. Match company canonical names against sanctioned entity list. Covers DRC cobalt miners, Russian entities, Chinese state-owned enterprises.</t>
  </si>
  <si>
    <t xml:space="preserve">Global Trade Alert</t>
  </si>
  <si>
    <t xml:space="preserve">University of St. Gallen</t>
  </si>
  <si>
    <t xml:space="preserve">Trade policy interventions: tariffs, subsidies, export bans</t>
  </si>
  <si>
    <t xml:space="preserve">risk_events, regulations</t>
  </si>
  <si>
    <t xml:space="preserve">Bulk download (CSV)</t>
  </si>
  <si>
    <t xml:space="preserve">Weekly</t>
  </si>
  <si>
    <t xml:space="preserve">~5–10K interventions/year</t>
  </si>
  <si>
    <t xml:space="preserve">Full database free for researchers/non-commercial</t>
  </si>
  <si>
    <t xml:space="preserve">https://www.globaltradealert.org/</t>
  </si>
  <si>
    <t xml:space="preserve">Covers export restrictions on critical minerals (China graphite export controls, Indonesia nickel export ban, etc.). Map to risk_event_geographies and risk_event_materials.</t>
  </si>
  <si>
    <t xml:space="preserve">Global Energy Monitor — Battery &amp; Mine Tracker</t>
  </si>
  <si>
    <t xml:space="preserve">Global Energy Monitor</t>
  </si>
  <si>
    <t xml:space="preserve">Mine and facility locations, status, capacity</t>
  </si>
  <si>
    <t xml:space="preserve">facilities, companies</t>
  </si>
  <si>
    <t xml:space="preserve">Bulk download (CSV/XLS)</t>
  </si>
  <si>
    <t xml:space="preserve">Quarterly</t>
  </si>
  <si>
    <t xml:space="preserve">~2K–5K facility records</t>
  </si>
  <si>
    <t xml:space="preserve">Medium</t>
  </si>
  <si>
    <t xml:space="preserve">https://globalenergymonitor.org/</t>
  </si>
  <si>
    <t xml:space="preserve">Provides facility-level data: mine location, country, operator, status (operating/proposed/closed). Seed the facilities table for key lithium, cobalt, nickel mines.</t>
  </si>
  <si>
    <t xml:space="preserve">World Bank Open Data API</t>
  </si>
  <si>
    <t xml:space="preserve">Country-level indicators: GDP, governance, political stability</t>
  </si>
  <si>
    <t xml:space="preserve">geography_scores (inputs)</t>
  </si>
  <si>
    <t xml:space="preserve">~1,600 indicators × 200 countries</t>
  </si>
  <si>
    <t xml:space="preserve">https://data.worldbank.org/</t>
  </si>
  <si>
    <t xml:space="preserve">Use Worldwide Governance Indicators (WGI) for geopolitical pillar scoring. Political stability, rule of law, and government effectiveness directly inform risk weighting.</t>
  </si>
  <si>
    <t xml:space="preserve">ECHA Substance Database</t>
  </si>
  <si>
    <t xml:space="preserve">European Chemicals Agency</t>
  </si>
  <si>
    <t xml:space="preserve">Substance regulatory status: SVHC, RoHS, REACH restrictions</t>
  </si>
  <si>
    <t xml:space="preserve">regulations, regulation_material_scope</t>
  </si>
  <si>
    <t xml:space="preserve">~25K substances</t>
  </si>
  <si>
    <t xml:space="preserve">Unlimited — public EU data</t>
  </si>
  <si>
    <t xml:space="preserve">https://echa.europa.eu/information-on-chemicals</t>
  </si>
  <si>
    <t xml:space="preserve">Map battery material substances (cobalt compounds, lithium salts) to their REACH/SVHC regulatory status for regulatory pillar inputs.</t>
  </si>
  <si>
    <t xml:space="preserve">OpenCorporates</t>
  </si>
  <si>
    <t xml:space="preserve">Company registry data: legal name, jurisdiction, status</t>
  </si>
  <si>
    <t xml:space="preserve">companies, company_aliases</t>
  </si>
  <si>
    <t xml:space="preserve">~200M company records</t>
  </si>
  <si>
    <t xml:space="preserve">100 API calls/day free (unregistered); higher with free account</t>
  </si>
  <si>
    <t xml:space="preserve">https://opencorporates.com/</t>
  </si>
  <si>
    <t xml:space="preserve">Useful for resolving canonical company names and finding legal entity identifiers (LEI equivalent). Rate limit is the constraint — batch lookups for key companies only.</t>
  </si>
  <si>
    <t xml:space="preserve">LME Historical Price Data</t>
  </si>
  <si>
    <t xml:space="preserve">London Metal Exchange</t>
  </si>
  <si>
    <t xml:space="preserve">Historical spot and forward prices: cobalt, nickel, lithium</t>
  </si>
  <si>
    <t xml:space="preserve">Web scrape / manual download</t>
  </si>
  <si>
    <t xml:space="preserve">Daily (delay on free)</t>
  </si>
  <si>
    <t xml:space="preserve">Daily prices, multi-year history</t>
  </si>
  <si>
    <t xml:space="preserve">Some historical data free via website; real-time requires license</t>
  </si>
  <si>
    <t xml:space="preserve">https://www.lme.com/Metals/</t>
  </si>
  <si>
    <t xml:space="preserve">Good complement to World Bank Pink Sheet. LME data is the industry reference for nickel and cobalt. Free historical data is available but requires scraping or manual export.</t>
  </si>
  <si>
    <t xml:space="preserve">IEA Global EV Outlook Data</t>
  </si>
  <si>
    <t xml:space="preserve">International Energy Agency</t>
  </si>
  <si>
    <t xml:space="preserve">EV sales, battery demand, market share by country</t>
  </si>
  <si>
    <t xml:space="preserve">source_documents (context only)</t>
  </si>
  <si>
    <t xml:space="preserve">Country × year time series</t>
  </si>
  <si>
    <t xml:space="preserve">Low</t>
  </si>
  <si>
    <t xml:space="preserve">https://www.iea.org/data-and-statistics/data-tools/global-ev-data-explorer</t>
  </si>
  <si>
    <t xml:space="preserve">Useful for market-level context in reports but does not directly feed scoring tables. Good for seeding the battery domain narrative in supply_chain_contexts.</t>
  </si>
  <si>
    <t xml:space="preserve">S&amp;P Global Market Intelligence</t>
  </si>
  <si>
    <t xml:space="preserve">S&amp;P Global</t>
  </si>
  <si>
    <t xml:space="preserve">Company financials, credit ratings, mine production data</t>
  </si>
  <si>
    <t xml:space="preserve">companies, commodity_prices, facilities</t>
  </si>
  <si>
    <t xml:space="preserve">Paid</t>
  </si>
  <si>
    <t xml:space="preserve">API / data feed</t>
  </si>
  <si>
    <t xml:space="preserve">Daily/Real-time</t>
  </si>
  <si>
    <t xml:space="preserve">Full coverage</t>
  </si>
  <si>
    <t xml:space="preserve">No free tier</t>
  </si>
  <si>
    <t xml:space="preserve">https://www.spglobal.com/marketintelligence/</t>
  </si>
  <si>
    <t xml:space="preserve">Best-in-class data quality but expensive ($10K–$100K+/year). Defer until revenue justifies it. Many fields can be approximated from SEC EDGAR + USGS for early stage.</t>
  </si>
  <si>
    <t xml:space="preserve">BloombergNEF</t>
  </si>
  <si>
    <t xml:space="preserve">Bloomberg</t>
  </si>
  <si>
    <t xml:space="preserve">Battery price forecasts, supply chain analytics</t>
  </si>
  <si>
    <t xml:space="preserve">commodity_prices, source_documents</t>
  </si>
  <si>
    <t xml:space="preserve">Licensed data feed</t>
  </si>
  <si>
    <t xml:space="preserve">https://about.bnef.com/</t>
  </si>
  <si>
    <t xml:space="preserve">Industry benchmark for battery cost curves and long-range price forecasts. $15K–$50K+/year. Not justified at early stage — use World Bank + USGS proxies.</t>
  </si>
  <si>
    <t xml:space="preserve">Cost Tier Key:  Green = Free  |  Amber = Freemium (free tier available)  |  Red = Paid only</t>
  </si>
  <si>
    <t xml:space="preserve">Neon Postgres — Storage Cost Estimates by Table</t>
  </si>
  <si>
    <t xml:space="preserve">Table</t>
  </si>
  <si>
    <t xml:space="preserve">Description</t>
  </si>
  <si>
    <t xml:space="preserve">Row Size
(bytes, est.)</t>
  </si>
  <si>
    <t xml:space="preserve">Est. Rows
(Year 1)</t>
  </si>
  <si>
    <t xml:space="preserve">Est. Rows
(Year 2)</t>
  </si>
  <si>
    <t xml:space="preserve">Index Overhead
(multiplier)</t>
  </si>
  <si>
    <t xml:space="preserve">Year 1
Storage (MB)</t>
  </si>
  <si>
    <t xml:space="preserve">Year 2
Storage (MB)</t>
  </si>
  <si>
    <t xml:space="preserve">Dominant
Cost Driver</t>
  </si>
  <si>
    <t xml:space="preserve">document_chunks</t>
  </si>
  <si>
    <t xml:space="preserve">Text chunks + vector(1536) embedding</t>
  </si>
  <si>
    <t xml:space="preserve">Vector storage + IVFFlat index</t>
  </si>
  <si>
    <t xml:space="preserve">Biggest table by far. vector(1536) = 6,144 bytes/row. IVFFlat index (lists=100) adds ~equal overhead. Limit early ingestion to high-priority documents.</t>
  </si>
  <si>
    <t xml:space="preserve">Bilateral trade flow records by HS code</t>
  </si>
  <si>
    <t xml:space="preserve">Row volume if bulk Comtrade import</t>
  </si>
  <si>
    <t xml:space="preserve">Risk of unbounded growth if full Comtrade history imported. Filter to 6 HS prefixes in supply_chain_contexts. 5 years × target codes ≈ 500K rows.</t>
  </si>
  <si>
    <t xml:space="preserve">risk_events</t>
  </si>
  <si>
    <t xml:space="preserve">Ingested news/regulatory events</t>
  </si>
  <si>
    <t xml:space="preserve">Text content column</t>
  </si>
  <si>
    <t xml:space="preserve">content_hash deduplication keeps row count manageable. Consider truncating content to 2K chars and storing full text in source_documents.</t>
  </si>
  <si>
    <t xml:space="preserve">source_documents</t>
  </si>
  <si>
    <t xml:space="preserve">Raw source document content</t>
  </si>
  <si>
    <t xml:space="preserve">Text/content column</t>
  </si>
  <si>
    <t xml:space="preserve">Large text payloads. Consider storing raw content in object storage (S3/R2) and keeping only metadata in Neon.</t>
  </si>
  <si>
    <t xml:space="preserve">company_scores</t>
  </si>
  <si>
    <t xml:space="preserve">Scored company risk records over time</t>
  </si>
  <si>
    <t xml:space="preserve">Low — grows with rescore frequency</t>
  </si>
  <si>
    <t xml:space="preserve">Append-only per scoring run. Negligible storage. rationale_json adds ~200 bytes/row.</t>
  </si>
  <si>
    <t xml:space="preserve">companies</t>
  </si>
  <si>
    <t xml:space="preserve">Canonical company master records</t>
  </si>
  <si>
    <t xml:space="preserve">Low — bounded entity count</t>
  </si>
  <si>
    <t xml:space="preserve">Bounded by the number of supply chain participants tracked. Not a growth concern.</t>
  </si>
  <si>
    <t xml:space="preserve">Daily/monthly material spot prices</t>
  </si>
  <si>
    <t xml:space="preserve">~20 materials × daily × 7 years history = ~50K rows. Small table.</t>
  </si>
  <si>
    <t xml:space="preserve">regulations</t>
  </si>
  <si>
    <t xml:space="preserve">Regulatory instruments tracked</t>
  </si>
  <si>
    <t xml:space="preserve">Low — bounded</t>
  </si>
  <si>
    <t xml:space="preserve">Bounded by the number of regulations relevant to the domain. Negligible.</t>
  </si>
  <si>
    <t xml:space="preserve">company_material_exposures</t>
  </si>
  <si>
    <t xml:space="preserve">Company–material relationship junction</t>
  </si>
  <si>
    <t xml:space="preserve">Grows with company × material combinations. Not a concern at early scale.</t>
  </si>
  <si>
    <t xml:space="preserve">risk_event_companies
risk_event_materials
risk_event_geographies</t>
  </si>
  <si>
    <t xml:space="preserve">Junction tables linking events to entities</t>
  </si>
  <si>
    <t xml:space="preserve">Row volume proportional to event ingestion</t>
  </si>
  <si>
    <t xml:space="preserve">Each event can link to multiple companies, materials, geographies. ~3–10 junction rows per risk event. Bulk deletes of old events should cascade.</t>
  </si>
  <si>
    <t xml:space="preserve">All other tables</t>
  </si>
  <si>
    <t xml:space="preserve">tenants, users, facilities, sources, etc.</t>
  </si>
  <si>
    <t xml:space="preserve">Negligible</t>
  </si>
  <si>
    <t xml:space="preserve">Platform/operational tables. Combined footprint is trivial.</t>
  </si>
  <si>
    <t xml:space="preserve">TOTAL</t>
  </si>
  <si>
    <t xml:space="preserve">Neon Serverless Postgres — Monthly Cost Estimate</t>
  </si>
  <si>
    <t xml:space="preserve">Assumption</t>
  </si>
  <si>
    <t xml:space="preserve">Key</t>
  </si>
  <si>
    <t xml:space="preserve">Value</t>
  </si>
  <si>
    <t xml:space="preserve">— Assumptions —</t>
  </si>
  <si>
    <t xml:space="preserve">Storage rate ($/GiB-month)</t>
  </si>
  <si>
    <t xml:space="preserve">pricing_storage</t>
  </si>
  <si>
    <t xml:space="preserve">PITR history rate ($/GiB-month)</t>
  </si>
  <si>
    <t xml:space="preserve">pricing_pitr</t>
  </si>
  <si>
    <t xml:space="preserve">Compute rate ($/compute-hour)</t>
  </si>
  <si>
    <t xml:space="preserve">pricing_compute</t>
  </si>
  <si>
    <t xml:space="preserve">PITR window (days)</t>
  </si>
  <si>
    <t xml:space="preserve">pitr_days</t>
  </si>
  <si>
    <t xml:space="preserve">Avg daily compute hours — Year 1</t>
  </si>
  <si>
    <t xml:space="preserve">compute_y1</t>
  </si>
  <si>
    <t xml:space="preserve">Avg daily compute hours — Year 2</t>
  </si>
  <si>
    <t xml:space="preserve">compute_y2</t>
  </si>
  <si>
    <t xml:space="preserve">WAL write rate (MB/day) — Year 1</t>
  </si>
  <si>
    <t xml:space="preserve">wal_y1</t>
  </si>
  <si>
    <t xml:space="preserve">WAL write rate (MB/day) — Year 2</t>
  </si>
  <si>
    <t xml:space="preserve">wal_y2</t>
  </si>
  <si>
    <t xml:space="preserve">Cost Component</t>
  </si>
  <si>
    <t xml:space="preserve">Basis</t>
  </si>
  <si>
    <t xml:space="preserve">Year 1 ($/mo)</t>
  </si>
  <si>
    <t xml:space="preserve">Year 2 ($/mo)</t>
  </si>
  <si>
    <t xml:space="preserve">Data Storage</t>
  </si>
  <si>
    <t xml:space="preserve">Total table + index size</t>
  </si>
  <si>
    <t xml:space="preserve">Estimated from storage model on previous sheet. $0.35/GiB-month.</t>
  </si>
  <si>
    <t xml:space="preserve">PITR History Storage</t>
  </si>
  <si>
    <t xml:space="preserve">WAL retained for point-in-time restore window</t>
  </si>
  <si>
    <t xml:space="preserve">WAL accumulates at write rate × retention window. Increase write rate estimate as ingestion scales.</t>
  </si>
  <si>
    <t xml:space="preserve">Compute (CU hours)</t>
  </si>
  <si>
    <t xml:space="preserve">Active compute time (auto-suspend when idle)</t>
  </si>
  <si>
    <t xml:space="preserve">Neon auto-suspends when inactive — key cost lever. Year 1 assumes ~2 active hrs/day (dev/test + light ingestion). Year 2 assumes 6 hrs/day (production ingestion + API traffic).</t>
  </si>
  <si>
    <t xml:space="preserve">ESTIMATED TOTAL</t>
  </si>
  <si>
    <t xml:space="preserve">⚠  Neon paid plans have a $5/month minimum spend. Free tier caps at 0.5 GiB storage — you will exceed this once document_chunks grows beyond ~65K rows.</t>
  </si>
  <si>
    <t xml:space="preserve">KEY INSIGHT — Storage vs. Compute:  Storage at $0.35/GiB-month is cheap. The real cost lever is compute: Neon bills per active compute-hour. Auto-suspend (default 5 min idle) keeps costs low. Vector similarity queries are CPU-intensive — the IVFFlat index on document_chunks is critical to controlling query time.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</si>
</sst>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\x"/>
    <numFmt numFmtId="167" formatCode="#,##0.0"/>
    <numFmt numFmtId="168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i val="true"/>
      <sz val="9"/>
      <color rgb="FF666666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C0392B"/>
      <name val="Arial"/>
      <family val="0"/>
      <charset val="1"/>
    </font>
    <font>
      <i val="true"/>
      <sz val="8"/>
      <color rgb="FF1A1A1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1E8449"/>
        <bgColor rgb="FF008080"/>
      </patternFill>
    </fill>
    <fill>
      <patternFill patternType="solid">
        <fgColor rgb="FFE9F7EF"/>
        <bgColor rgb="FFF2F2F2"/>
      </patternFill>
    </fill>
    <fill>
      <patternFill patternType="solid">
        <fgColor rgb="FFF2F2F2"/>
        <bgColor rgb="FFE9F7EF"/>
      </patternFill>
    </fill>
    <fill>
      <patternFill patternType="solid">
        <fgColor rgb="FFF39C12"/>
        <bgColor rgb="FFFFCC00"/>
      </patternFill>
    </fill>
    <fill>
      <patternFill patternType="solid">
        <fgColor rgb="FFFFF9C4"/>
        <bgColor rgb="FFFFFF99"/>
      </patternFill>
    </fill>
    <fill>
      <patternFill patternType="solid">
        <fgColor rgb="FFC0392B"/>
        <bgColor rgb="FF993366"/>
      </patternFill>
    </fill>
    <fill>
      <patternFill patternType="solid">
        <fgColor rgb="FFD6E4F0"/>
        <bgColor rgb="FFE0E0E0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E9F7E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0E0E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39C12"/>
      <rgbColor rgb="FFFF6600"/>
      <rgbColor rgb="FF666666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36"/>
    <col collapsed="false" customWidth="true" hidden="false" outlineLevel="0" max="12" min="12" style="0" width="3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51.75" hidden="false" customHeight="true" outlineLevel="0" collapsed="false">
      <c r="A3" s="3" t="s">
        <v>13</v>
      </c>
      <c r="B3" s="4" t="s">
        <v>14</v>
      </c>
      <c r="C3" s="4" t="s">
        <v>15</v>
      </c>
      <c r="D3" s="4" t="s">
        <v>16</v>
      </c>
      <c r="E3" s="5" t="s">
        <v>17</v>
      </c>
      <c r="F3" s="4" t="s">
        <v>18</v>
      </c>
      <c r="G3" s="6" t="s">
        <v>19</v>
      </c>
      <c r="H3" s="4" t="s">
        <v>20</v>
      </c>
      <c r="I3" s="4" t="s">
        <v>21</v>
      </c>
      <c r="J3" s="7" t="s">
        <v>22</v>
      </c>
      <c r="K3" s="4" t="s">
        <v>23</v>
      </c>
      <c r="L3" s="4" t="s">
        <v>24</v>
      </c>
    </row>
    <row r="4" customFormat="false" ht="51.75" hidden="false" customHeight="true" outlineLevel="0" collapsed="false">
      <c r="A4" s="8" t="s">
        <v>25</v>
      </c>
      <c r="B4" s="9" t="s">
        <v>26</v>
      </c>
      <c r="C4" s="9" t="s">
        <v>27</v>
      </c>
      <c r="D4" s="9" t="s">
        <v>28</v>
      </c>
      <c r="E4" s="10" t="s">
        <v>29</v>
      </c>
      <c r="F4" s="9" t="s">
        <v>30</v>
      </c>
      <c r="G4" s="11" t="s">
        <v>31</v>
      </c>
      <c r="H4" s="9" t="s">
        <v>32</v>
      </c>
      <c r="I4" s="9" t="s">
        <v>33</v>
      </c>
      <c r="J4" s="7" t="s">
        <v>22</v>
      </c>
      <c r="K4" s="9" t="s">
        <v>34</v>
      </c>
      <c r="L4" s="9" t="s">
        <v>35</v>
      </c>
    </row>
    <row r="5" customFormat="false" ht="51.75" hidden="false" customHeight="true" outlineLevel="0" collapsed="false">
      <c r="A5" s="3" t="s">
        <v>36</v>
      </c>
      <c r="B5" s="4" t="s">
        <v>37</v>
      </c>
      <c r="C5" s="4" t="s">
        <v>38</v>
      </c>
      <c r="D5" s="4" t="s">
        <v>39</v>
      </c>
      <c r="E5" s="5" t="s">
        <v>17</v>
      </c>
      <c r="F5" s="4" t="s">
        <v>40</v>
      </c>
      <c r="G5" s="6" t="s">
        <v>41</v>
      </c>
      <c r="H5" s="4" t="s">
        <v>42</v>
      </c>
      <c r="I5" s="4" t="s">
        <v>43</v>
      </c>
      <c r="J5" s="7" t="s">
        <v>22</v>
      </c>
      <c r="K5" s="4" t="s">
        <v>44</v>
      </c>
      <c r="L5" s="4" t="s">
        <v>45</v>
      </c>
    </row>
    <row r="6" customFormat="false" ht="51.75" hidden="false" customHeight="true" outlineLevel="0" collapsed="false">
      <c r="A6" s="8" t="s">
        <v>46</v>
      </c>
      <c r="B6" s="9" t="s">
        <v>47</v>
      </c>
      <c r="C6" s="9" t="s">
        <v>48</v>
      </c>
      <c r="D6" s="9" t="s">
        <v>49</v>
      </c>
      <c r="E6" s="5" t="s">
        <v>17</v>
      </c>
      <c r="F6" s="9" t="s">
        <v>50</v>
      </c>
      <c r="G6" s="11" t="s">
        <v>51</v>
      </c>
      <c r="H6" s="9" t="s">
        <v>52</v>
      </c>
      <c r="I6" s="9" t="s">
        <v>53</v>
      </c>
      <c r="J6" s="7" t="s">
        <v>22</v>
      </c>
      <c r="K6" s="9" t="s">
        <v>54</v>
      </c>
      <c r="L6" s="9" t="s">
        <v>55</v>
      </c>
    </row>
    <row r="7" customFormat="false" ht="51.75" hidden="false" customHeight="true" outlineLevel="0" collapsed="false">
      <c r="A7" s="3" t="s">
        <v>56</v>
      </c>
      <c r="B7" s="4" t="s">
        <v>57</v>
      </c>
      <c r="C7" s="4" t="s">
        <v>58</v>
      </c>
      <c r="D7" s="4" t="s">
        <v>59</v>
      </c>
      <c r="E7" s="5" t="s">
        <v>17</v>
      </c>
      <c r="F7" s="4" t="s">
        <v>60</v>
      </c>
      <c r="G7" s="6" t="s">
        <v>61</v>
      </c>
      <c r="H7" s="4" t="s">
        <v>62</v>
      </c>
      <c r="I7" s="4" t="s">
        <v>53</v>
      </c>
      <c r="J7" s="7" t="s">
        <v>22</v>
      </c>
      <c r="K7" s="4" t="s">
        <v>63</v>
      </c>
      <c r="L7" s="4" t="s">
        <v>64</v>
      </c>
    </row>
    <row r="8" customFormat="false" ht="51.75" hidden="false" customHeight="true" outlineLevel="0" collapsed="false">
      <c r="A8" s="8" t="s">
        <v>65</v>
      </c>
      <c r="B8" s="9" t="s">
        <v>66</v>
      </c>
      <c r="C8" s="9" t="s">
        <v>67</v>
      </c>
      <c r="D8" s="9" t="s">
        <v>68</v>
      </c>
      <c r="E8" s="5" t="s">
        <v>17</v>
      </c>
      <c r="F8" s="9" t="s">
        <v>30</v>
      </c>
      <c r="G8" s="11" t="s">
        <v>69</v>
      </c>
      <c r="H8" s="9" t="s">
        <v>70</v>
      </c>
      <c r="I8" s="9" t="s">
        <v>21</v>
      </c>
      <c r="J8" s="7" t="s">
        <v>22</v>
      </c>
      <c r="K8" s="9" t="s">
        <v>71</v>
      </c>
      <c r="L8" s="9" t="s">
        <v>72</v>
      </c>
    </row>
    <row r="9" customFormat="false" ht="51.75" hidden="false" customHeight="true" outlineLevel="0" collapsed="false">
      <c r="A9" s="3" t="s">
        <v>73</v>
      </c>
      <c r="B9" s="4" t="s">
        <v>73</v>
      </c>
      <c r="C9" s="4" t="s">
        <v>74</v>
      </c>
      <c r="D9" s="4" t="s">
        <v>75</v>
      </c>
      <c r="E9" s="10" t="s">
        <v>29</v>
      </c>
      <c r="F9" s="4" t="s">
        <v>76</v>
      </c>
      <c r="G9" s="6" t="s">
        <v>69</v>
      </c>
      <c r="H9" s="4" t="s">
        <v>77</v>
      </c>
      <c r="I9" s="4" t="s">
        <v>78</v>
      </c>
      <c r="J9" s="7" t="s">
        <v>22</v>
      </c>
      <c r="K9" s="4" t="s">
        <v>79</v>
      </c>
      <c r="L9" s="4" t="s">
        <v>80</v>
      </c>
    </row>
    <row r="10" customFormat="false" ht="51.75" hidden="false" customHeight="true" outlineLevel="0" collapsed="false">
      <c r="A10" s="8" t="s">
        <v>81</v>
      </c>
      <c r="B10" s="9" t="s">
        <v>82</v>
      </c>
      <c r="C10" s="9" t="s">
        <v>83</v>
      </c>
      <c r="D10" s="9" t="s">
        <v>84</v>
      </c>
      <c r="E10" s="5" t="s">
        <v>17</v>
      </c>
      <c r="F10" s="9" t="s">
        <v>85</v>
      </c>
      <c r="G10" s="11" t="s">
        <v>86</v>
      </c>
      <c r="H10" s="9" t="s">
        <v>87</v>
      </c>
      <c r="I10" s="9" t="s">
        <v>88</v>
      </c>
      <c r="J10" s="7" t="s">
        <v>22</v>
      </c>
      <c r="K10" s="9" t="s">
        <v>89</v>
      </c>
      <c r="L10" s="9" t="s">
        <v>90</v>
      </c>
    </row>
    <row r="11" customFormat="false" ht="51.75" hidden="false" customHeight="true" outlineLevel="0" collapsed="false">
      <c r="A11" s="3" t="s">
        <v>91</v>
      </c>
      <c r="B11" s="4" t="s">
        <v>92</v>
      </c>
      <c r="C11" s="4" t="s">
        <v>93</v>
      </c>
      <c r="D11" s="4" t="s">
        <v>94</v>
      </c>
      <c r="E11" s="5" t="s">
        <v>17</v>
      </c>
      <c r="F11" s="4" t="s">
        <v>95</v>
      </c>
      <c r="G11" s="6" t="s">
        <v>96</v>
      </c>
      <c r="H11" s="4" t="s">
        <v>97</v>
      </c>
      <c r="I11" s="4" t="s">
        <v>53</v>
      </c>
      <c r="J11" s="12" t="s">
        <v>98</v>
      </c>
      <c r="K11" s="4" t="s">
        <v>99</v>
      </c>
      <c r="L11" s="4" t="s">
        <v>100</v>
      </c>
    </row>
    <row r="12" customFormat="false" ht="51.75" hidden="false" customHeight="true" outlineLevel="0" collapsed="false">
      <c r="A12" s="8" t="s">
        <v>101</v>
      </c>
      <c r="B12" s="9" t="s">
        <v>47</v>
      </c>
      <c r="C12" s="9" t="s">
        <v>102</v>
      </c>
      <c r="D12" s="9" t="s">
        <v>103</v>
      </c>
      <c r="E12" s="5" t="s">
        <v>17</v>
      </c>
      <c r="F12" s="9" t="s">
        <v>30</v>
      </c>
      <c r="G12" s="11" t="s">
        <v>19</v>
      </c>
      <c r="H12" s="9" t="s">
        <v>104</v>
      </c>
      <c r="I12" s="9" t="s">
        <v>53</v>
      </c>
      <c r="J12" s="12" t="s">
        <v>98</v>
      </c>
      <c r="K12" s="9" t="s">
        <v>105</v>
      </c>
      <c r="L12" s="9" t="s">
        <v>106</v>
      </c>
    </row>
    <row r="13" customFormat="false" ht="51.75" hidden="false" customHeight="true" outlineLevel="0" collapsed="false">
      <c r="A13" s="3" t="s">
        <v>107</v>
      </c>
      <c r="B13" s="4" t="s">
        <v>108</v>
      </c>
      <c r="C13" s="4" t="s">
        <v>109</v>
      </c>
      <c r="D13" s="4" t="s">
        <v>110</v>
      </c>
      <c r="E13" s="5" t="s">
        <v>17</v>
      </c>
      <c r="F13" s="4" t="s">
        <v>60</v>
      </c>
      <c r="G13" s="6" t="s">
        <v>96</v>
      </c>
      <c r="H13" s="4" t="s">
        <v>111</v>
      </c>
      <c r="I13" s="4" t="s">
        <v>112</v>
      </c>
      <c r="J13" s="12" t="s">
        <v>98</v>
      </c>
      <c r="K13" s="4" t="s">
        <v>113</v>
      </c>
      <c r="L13" s="4" t="s">
        <v>114</v>
      </c>
    </row>
    <row r="14" customFormat="false" ht="51.75" hidden="false" customHeight="true" outlineLevel="0" collapsed="false">
      <c r="A14" s="8" t="s">
        <v>115</v>
      </c>
      <c r="B14" s="9" t="s">
        <v>115</v>
      </c>
      <c r="C14" s="9" t="s">
        <v>116</v>
      </c>
      <c r="D14" s="9" t="s">
        <v>117</v>
      </c>
      <c r="E14" s="10" t="s">
        <v>29</v>
      </c>
      <c r="F14" s="9" t="s">
        <v>30</v>
      </c>
      <c r="G14" s="11" t="s">
        <v>61</v>
      </c>
      <c r="H14" s="9" t="s">
        <v>118</v>
      </c>
      <c r="I14" s="9" t="s">
        <v>119</v>
      </c>
      <c r="J14" s="12" t="s">
        <v>98</v>
      </c>
      <c r="K14" s="9" t="s">
        <v>120</v>
      </c>
      <c r="L14" s="9" t="s">
        <v>121</v>
      </c>
    </row>
    <row r="15" customFormat="false" ht="51.75" hidden="false" customHeight="true" outlineLevel="0" collapsed="false">
      <c r="A15" s="3" t="s">
        <v>122</v>
      </c>
      <c r="B15" s="4" t="s">
        <v>123</v>
      </c>
      <c r="C15" s="4" t="s">
        <v>124</v>
      </c>
      <c r="D15" s="4" t="s">
        <v>49</v>
      </c>
      <c r="E15" s="10" t="s">
        <v>29</v>
      </c>
      <c r="F15" s="4" t="s">
        <v>125</v>
      </c>
      <c r="G15" s="6" t="s">
        <v>126</v>
      </c>
      <c r="H15" s="4" t="s">
        <v>127</v>
      </c>
      <c r="I15" s="4" t="s">
        <v>128</v>
      </c>
      <c r="J15" s="12" t="s">
        <v>98</v>
      </c>
      <c r="K15" s="4" t="s">
        <v>129</v>
      </c>
      <c r="L15" s="4" t="s">
        <v>130</v>
      </c>
    </row>
    <row r="16" customFormat="false" ht="51.75" hidden="false" customHeight="true" outlineLevel="0" collapsed="false">
      <c r="A16" s="8" t="s">
        <v>131</v>
      </c>
      <c r="B16" s="9" t="s">
        <v>132</v>
      </c>
      <c r="C16" s="9" t="s">
        <v>133</v>
      </c>
      <c r="D16" s="9" t="s">
        <v>134</v>
      </c>
      <c r="E16" s="5" t="s">
        <v>17</v>
      </c>
      <c r="F16" s="9" t="s">
        <v>95</v>
      </c>
      <c r="G16" s="11" t="s">
        <v>19</v>
      </c>
      <c r="H16" s="9" t="s">
        <v>135</v>
      </c>
      <c r="I16" s="9" t="s">
        <v>53</v>
      </c>
      <c r="J16" s="13" t="s">
        <v>136</v>
      </c>
      <c r="K16" s="9" t="s">
        <v>137</v>
      </c>
      <c r="L16" s="9" t="s">
        <v>138</v>
      </c>
    </row>
    <row r="17" customFormat="false" ht="51.75" hidden="false" customHeight="true" outlineLevel="0" collapsed="false">
      <c r="A17" s="3" t="s">
        <v>139</v>
      </c>
      <c r="B17" s="4" t="s">
        <v>140</v>
      </c>
      <c r="C17" s="4" t="s">
        <v>141</v>
      </c>
      <c r="D17" s="4" t="s">
        <v>142</v>
      </c>
      <c r="E17" s="14" t="s">
        <v>143</v>
      </c>
      <c r="F17" s="4" t="s">
        <v>144</v>
      </c>
      <c r="G17" s="6" t="s">
        <v>145</v>
      </c>
      <c r="H17" s="4" t="s">
        <v>146</v>
      </c>
      <c r="I17" s="4" t="s">
        <v>147</v>
      </c>
      <c r="J17" s="13" t="s">
        <v>136</v>
      </c>
      <c r="K17" s="4" t="s">
        <v>148</v>
      </c>
      <c r="L17" s="4" t="s">
        <v>149</v>
      </c>
    </row>
    <row r="18" customFormat="false" ht="51.75" hidden="false" customHeight="true" outlineLevel="0" collapsed="false">
      <c r="A18" s="8" t="s">
        <v>150</v>
      </c>
      <c r="B18" s="9" t="s">
        <v>151</v>
      </c>
      <c r="C18" s="9" t="s">
        <v>152</v>
      </c>
      <c r="D18" s="9" t="s">
        <v>153</v>
      </c>
      <c r="E18" s="14" t="s">
        <v>143</v>
      </c>
      <c r="F18" s="9" t="s">
        <v>154</v>
      </c>
      <c r="G18" s="11" t="s">
        <v>61</v>
      </c>
      <c r="H18" s="9" t="s">
        <v>146</v>
      </c>
      <c r="I18" s="9" t="s">
        <v>147</v>
      </c>
      <c r="J18" s="13" t="s">
        <v>136</v>
      </c>
      <c r="K18" s="9" t="s">
        <v>155</v>
      </c>
      <c r="L18" s="9" t="s">
        <v>156</v>
      </c>
    </row>
    <row r="20" customFormat="false" ht="15" hidden="false" customHeight="false" outlineLevel="0" collapsed="false">
      <c r="A20" s="15" t="s">
        <v>157</v>
      </c>
      <c r="B20" s="15"/>
      <c r="C20" s="15"/>
      <c r="D20" s="15"/>
      <c r="E20" s="15"/>
    </row>
  </sheetData>
  <mergeCells count="2">
    <mergeCell ref="A1:L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8" min="3" style="0" width="14"/>
    <col collapsed="false" customWidth="true" hidden="false" outlineLevel="0" max="9" min="9" style="0" width="20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159</v>
      </c>
      <c r="B2" s="2" t="s">
        <v>160</v>
      </c>
      <c r="C2" s="2" t="s">
        <v>161</v>
      </c>
      <c r="D2" s="2" t="s">
        <v>162</v>
      </c>
      <c r="E2" s="2" t="s">
        <v>163</v>
      </c>
      <c r="F2" s="2" t="s">
        <v>164</v>
      </c>
      <c r="G2" s="2" t="s">
        <v>165</v>
      </c>
      <c r="H2" s="2" t="s">
        <v>166</v>
      </c>
      <c r="I2" s="2" t="s">
        <v>167</v>
      </c>
      <c r="J2" s="2" t="s">
        <v>12</v>
      </c>
    </row>
    <row r="3" customFormat="false" ht="51.75" hidden="false" customHeight="true" outlineLevel="0" collapsed="false">
      <c r="A3" s="3" t="s">
        <v>168</v>
      </c>
      <c r="B3" s="4" t="s">
        <v>169</v>
      </c>
      <c r="C3" s="16" t="n">
        <v>7800</v>
      </c>
      <c r="D3" s="16" t="n">
        <v>100000</v>
      </c>
      <c r="E3" s="16" t="n">
        <v>500000</v>
      </c>
      <c r="F3" s="17" t="n">
        <v>2.1</v>
      </c>
      <c r="G3" s="18" t="n">
        <f aca="false">D3*C3*F3/1048576</f>
        <v>1562.11853027344</v>
      </c>
      <c r="H3" s="18" t="n">
        <f aca="false">E3*C3*F3/1048576</f>
        <v>7810.59265136719</v>
      </c>
      <c r="I3" s="4" t="s">
        <v>170</v>
      </c>
      <c r="J3" s="4" t="s">
        <v>171</v>
      </c>
    </row>
    <row r="4" customFormat="false" ht="51.75" hidden="false" customHeight="true" outlineLevel="0" collapsed="false">
      <c r="A4" s="8" t="s">
        <v>28</v>
      </c>
      <c r="B4" s="9" t="s">
        <v>172</v>
      </c>
      <c r="C4" s="19" t="n">
        <v>320</v>
      </c>
      <c r="D4" s="19" t="n">
        <v>500000</v>
      </c>
      <c r="E4" s="19" t="n">
        <v>2000000</v>
      </c>
      <c r="F4" s="20" t="n">
        <v>1.4</v>
      </c>
      <c r="G4" s="18" t="n">
        <f aca="false">D4*C4*F4/1048576</f>
        <v>213.623046875</v>
      </c>
      <c r="H4" s="18" t="n">
        <f aca="false">E4*C4*F4/1048576</f>
        <v>854.4921875</v>
      </c>
      <c r="I4" s="9" t="s">
        <v>173</v>
      </c>
      <c r="J4" s="9" t="s">
        <v>174</v>
      </c>
    </row>
    <row r="5" customFormat="false" ht="51.75" hidden="false" customHeight="true" outlineLevel="0" collapsed="false">
      <c r="A5" s="3" t="s">
        <v>175</v>
      </c>
      <c r="B5" s="4" t="s">
        <v>176</v>
      </c>
      <c r="C5" s="16" t="n">
        <v>3200</v>
      </c>
      <c r="D5" s="16" t="n">
        <v>50000</v>
      </c>
      <c r="E5" s="16" t="n">
        <v>200000</v>
      </c>
      <c r="F5" s="17" t="n">
        <v>1.3</v>
      </c>
      <c r="G5" s="18" t="n">
        <f aca="false">D5*C5*F5/1048576</f>
        <v>198.3642578125</v>
      </c>
      <c r="H5" s="18" t="n">
        <f aca="false">E5*C5*F5/1048576</f>
        <v>793.45703125</v>
      </c>
      <c r="I5" s="4" t="s">
        <v>177</v>
      </c>
      <c r="J5" s="4" t="s">
        <v>178</v>
      </c>
    </row>
    <row r="6" customFormat="false" ht="51.75" hidden="false" customHeight="true" outlineLevel="0" collapsed="false">
      <c r="A6" s="8" t="s">
        <v>179</v>
      </c>
      <c r="B6" s="9" t="s">
        <v>180</v>
      </c>
      <c r="C6" s="19" t="n">
        <v>12000</v>
      </c>
      <c r="D6" s="19" t="n">
        <v>20000</v>
      </c>
      <c r="E6" s="19" t="n">
        <v>80000</v>
      </c>
      <c r="F6" s="20" t="n">
        <v>1.2</v>
      </c>
      <c r="G6" s="18" t="n">
        <f aca="false">D6*C6*F6/1048576</f>
        <v>274.658203125</v>
      </c>
      <c r="H6" s="18" t="n">
        <f aca="false">E6*C6*F6/1048576</f>
        <v>1098.6328125</v>
      </c>
      <c r="I6" s="9" t="s">
        <v>181</v>
      </c>
      <c r="J6" s="9" t="s">
        <v>182</v>
      </c>
    </row>
    <row r="7" customFormat="false" ht="51.75" hidden="false" customHeight="true" outlineLevel="0" collapsed="false">
      <c r="A7" s="3" t="s">
        <v>183</v>
      </c>
      <c r="B7" s="4" t="s">
        <v>184</v>
      </c>
      <c r="C7" s="16" t="n">
        <v>600</v>
      </c>
      <c r="D7" s="16" t="n">
        <v>5000</v>
      </c>
      <c r="E7" s="16" t="n">
        <v>25000</v>
      </c>
      <c r="F7" s="17" t="n">
        <v>1.2</v>
      </c>
      <c r="G7" s="18" t="n">
        <f aca="false">D7*C7*F7/1048576</f>
        <v>3.4332275390625</v>
      </c>
      <c r="H7" s="18" t="n">
        <f aca="false">E7*C7*F7/1048576</f>
        <v>17.1661376953125</v>
      </c>
      <c r="I7" s="4" t="s">
        <v>185</v>
      </c>
      <c r="J7" s="4" t="s">
        <v>186</v>
      </c>
    </row>
    <row r="8" customFormat="false" ht="51.75" hidden="false" customHeight="true" outlineLevel="0" collapsed="false">
      <c r="A8" s="8" t="s">
        <v>187</v>
      </c>
      <c r="B8" s="9" t="s">
        <v>188</v>
      </c>
      <c r="C8" s="19" t="n">
        <v>800</v>
      </c>
      <c r="D8" s="19" t="n">
        <v>2000</v>
      </c>
      <c r="E8" s="19" t="n">
        <v>8000</v>
      </c>
      <c r="F8" s="20" t="n">
        <v>1.3</v>
      </c>
      <c r="G8" s="18" t="n">
        <f aca="false">D8*C8*F8/1048576</f>
        <v>1.983642578125</v>
      </c>
      <c r="H8" s="18" t="n">
        <f aca="false">E8*C8*F8/1048576</f>
        <v>7.9345703125</v>
      </c>
      <c r="I8" s="9" t="s">
        <v>189</v>
      </c>
      <c r="J8" s="9" t="s">
        <v>190</v>
      </c>
    </row>
    <row r="9" customFormat="false" ht="51.75" hidden="false" customHeight="true" outlineLevel="0" collapsed="false">
      <c r="A9" s="3" t="s">
        <v>49</v>
      </c>
      <c r="B9" s="4" t="s">
        <v>191</v>
      </c>
      <c r="C9" s="16" t="n">
        <v>180</v>
      </c>
      <c r="D9" s="16" t="n">
        <v>50000</v>
      </c>
      <c r="E9" s="16" t="n">
        <v>100000</v>
      </c>
      <c r="F9" s="17" t="n">
        <v>1.2</v>
      </c>
      <c r="G9" s="18" t="n">
        <f aca="false">D9*C9*F9/1048576</f>
        <v>10.2996826171875</v>
      </c>
      <c r="H9" s="18" t="n">
        <f aca="false">E9*C9*F9/1048576</f>
        <v>20.599365234375</v>
      </c>
      <c r="I9" s="4" t="s">
        <v>136</v>
      </c>
      <c r="J9" s="4" t="s">
        <v>192</v>
      </c>
    </row>
    <row r="10" customFormat="false" ht="51.75" hidden="false" customHeight="true" outlineLevel="0" collapsed="false">
      <c r="A10" s="8" t="s">
        <v>193</v>
      </c>
      <c r="B10" s="9" t="s">
        <v>194</v>
      </c>
      <c r="C10" s="19" t="n">
        <v>1200</v>
      </c>
      <c r="D10" s="19" t="n">
        <v>2000</v>
      </c>
      <c r="E10" s="19" t="n">
        <v>5000</v>
      </c>
      <c r="F10" s="20" t="n">
        <v>1.2</v>
      </c>
      <c r="G10" s="18" t="n">
        <f aca="false">D10*C10*F10/1048576</f>
        <v>2.74658203125</v>
      </c>
      <c r="H10" s="18" t="n">
        <f aca="false">E10*C10*F10/1048576</f>
        <v>6.866455078125</v>
      </c>
      <c r="I10" s="9" t="s">
        <v>195</v>
      </c>
      <c r="J10" s="9" t="s">
        <v>196</v>
      </c>
    </row>
    <row r="11" customFormat="false" ht="51.75" hidden="false" customHeight="true" outlineLevel="0" collapsed="false">
      <c r="A11" s="3" t="s">
        <v>197</v>
      </c>
      <c r="B11" s="4" t="s">
        <v>198</v>
      </c>
      <c r="C11" s="16" t="n">
        <v>300</v>
      </c>
      <c r="D11" s="16" t="n">
        <v>20000</v>
      </c>
      <c r="E11" s="16" t="n">
        <v>80000</v>
      </c>
      <c r="F11" s="17" t="n">
        <v>1.3</v>
      </c>
      <c r="G11" s="18" t="n">
        <f aca="false">D11*C11*F11/1048576</f>
        <v>7.43865966796875</v>
      </c>
      <c r="H11" s="18" t="n">
        <f aca="false">E11*C11*F11/1048576</f>
        <v>29.754638671875</v>
      </c>
      <c r="I11" s="4" t="s">
        <v>136</v>
      </c>
      <c r="J11" s="4" t="s">
        <v>199</v>
      </c>
    </row>
    <row r="12" customFormat="false" ht="51.75" hidden="false" customHeight="true" outlineLevel="0" collapsed="false">
      <c r="A12" s="8" t="s">
        <v>200</v>
      </c>
      <c r="B12" s="9" t="s">
        <v>201</v>
      </c>
      <c r="C12" s="19" t="n">
        <v>200</v>
      </c>
      <c r="D12" s="19" t="n">
        <v>300000</v>
      </c>
      <c r="E12" s="19" t="n">
        <v>1200000</v>
      </c>
      <c r="F12" s="20" t="n">
        <v>1.2</v>
      </c>
      <c r="G12" s="18" t="n">
        <f aca="false">D12*C12*F12/1048576</f>
        <v>68.66455078125</v>
      </c>
      <c r="H12" s="18" t="n">
        <f aca="false">E12*C12*F12/1048576</f>
        <v>274.658203125</v>
      </c>
      <c r="I12" s="9" t="s">
        <v>202</v>
      </c>
      <c r="J12" s="9" t="s">
        <v>203</v>
      </c>
    </row>
    <row r="13" customFormat="false" ht="51.75" hidden="false" customHeight="true" outlineLevel="0" collapsed="false">
      <c r="A13" s="3" t="s">
        <v>204</v>
      </c>
      <c r="B13" s="4" t="s">
        <v>205</v>
      </c>
      <c r="C13" s="16" t="n">
        <v>400</v>
      </c>
      <c r="D13" s="16" t="n">
        <v>10000</v>
      </c>
      <c r="E13" s="16" t="n">
        <v>30000</v>
      </c>
      <c r="F13" s="17" t="n">
        <v>1.2</v>
      </c>
      <c r="G13" s="18" t="n">
        <f aca="false">D13*C13*F13/1048576</f>
        <v>4.57763671875</v>
      </c>
      <c r="H13" s="18" t="n">
        <f aca="false">E13*C13*F13/1048576</f>
        <v>13.73291015625</v>
      </c>
      <c r="I13" s="4" t="s">
        <v>206</v>
      </c>
      <c r="J13" s="4" t="s">
        <v>207</v>
      </c>
    </row>
    <row r="14" customFormat="false" ht="19.5" hidden="false" customHeight="true" outlineLevel="0" collapsed="false">
      <c r="A14" s="21" t="s">
        <v>208</v>
      </c>
      <c r="B14" s="22"/>
      <c r="C14" s="22"/>
      <c r="D14" s="22"/>
      <c r="E14" s="22"/>
      <c r="F14" s="22"/>
      <c r="G14" s="23" t="n">
        <f aca="false">SUM(G3:G13)</f>
        <v>2347.90802001953</v>
      </c>
      <c r="H14" s="23" t="n">
        <f aca="false">SUM(H3:H13)</f>
        <v>10927.8869628906</v>
      </c>
      <c r="I14" s="22"/>
      <c r="J14" s="2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6" min="6" style="0" width="36"/>
  </cols>
  <sheetData>
    <row r="1" customFormat="false" ht="24" hidden="false" customHeight="true" outlineLevel="0" collapsed="false">
      <c r="A1" s="1" t="s">
        <v>209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4" t="s">
        <v>210</v>
      </c>
      <c r="B2" s="24" t="s">
        <v>211</v>
      </c>
      <c r="C2" s="24" t="s">
        <v>212</v>
      </c>
    </row>
    <row r="3" customFormat="false" ht="15.75" hidden="false" customHeight="true" outlineLevel="0" collapsed="false">
      <c r="A3" s="25" t="s">
        <v>213</v>
      </c>
      <c r="B3" s="25"/>
      <c r="C3" s="25"/>
    </row>
    <row r="4" customFormat="false" ht="15" hidden="false" customHeight="false" outlineLevel="0" collapsed="false">
      <c r="A4" s="26" t="s">
        <v>214</v>
      </c>
      <c r="B4" s="27" t="s">
        <v>215</v>
      </c>
      <c r="C4" s="28" t="n">
        <v>0.35</v>
      </c>
    </row>
    <row r="5" customFormat="false" ht="15" hidden="false" customHeight="false" outlineLevel="0" collapsed="false">
      <c r="A5" s="26" t="s">
        <v>216</v>
      </c>
      <c r="B5" s="27" t="s">
        <v>217</v>
      </c>
      <c r="C5" s="28" t="n">
        <v>0.2</v>
      </c>
    </row>
    <row r="6" customFormat="false" ht="15" hidden="false" customHeight="false" outlineLevel="0" collapsed="false">
      <c r="A6" s="26" t="s">
        <v>218</v>
      </c>
      <c r="B6" s="27" t="s">
        <v>219</v>
      </c>
      <c r="C6" s="28" t="n">
        <v>0.16</v>
      </c>
    </row>
    <row r="7" customFormat="false" ht="15" hidden="false" customHeight="false" outlineLevel="0" collapsed="false">
      <c r="A7" s="4" t="s">
        <v>220</v>
      </c>
      <c r="B7" s="27" t="s">
        <v>221</v>
      </c>
      <c r="C7" s="29" t="n">
        <v>7</v>
      </c>
    </row>
    <row r="8" customFormat="false" ht="15" hidden="false" customHeight="false" outlineLevel="0" collapsed="false">
      <c r="A8" s="4" t="s">
        <v>222</v>
      </c>
      <c r="B8" s="27" t="s">
        <v>223</v>
      </c>
      <c r="C8" s="29" t="n">
        <v>2</v>
      </c>
    </row>
    <row r="9" customFormat="false" ht="15" hidden="false" customHeight="false" outlineLevel="0" collapsed="false">
      <c r="A9" s="4" t="s">
        <v>224</v>
      </c>
      <c r="B9" s="27" t="s">
        <v>225</v>
      </c>
      <c r="C9" s="29" t="n">
        <v>6</v>
      </c>
    </row>
    <row r="10" customFormat="false" ht="15" hidden="false" customHeight="false" outlineLevel="0" collapsed="false">
      <c r="A10" s="4" t="s">
        <v>226</v>
      </c>
      <c r="B10" s="27" t="s">
        <v>227</v>
      </c>
      <c r="C10" s="29" t="n">
        <v>50</v>
      </c>
    </row>
    <row r="11" customFormat="false" ht="15" hidden="false" customHeight="false" outlineLevel="0" collapsed="false">
      <c r="A11" s="4" t="s">
        <v>228</v>
      </c>
      <c r="B11" s="27" t="s">
        <v>229</v>
      </c>
      <c r="C11" s="29" t="n">
        <v>200</v>
      </c>
    </row>
    <row r="14" customFormat="false" ht="15" hidden="false" customHeight="true" outlineLevel="0" collapsed="false">
      <c r="A14" s="2" t="s">
        <v>230</v>
      </c>
      <c r="B14" s="2" t="s">
        <v>231</v>
      </c>
      <c r="C14" s="2" t="s">
        <v>232</v>
      </c>
      <c r="D14" s="2" t="s">
        <v>233</v>
      </c>
      <c r="E14" s="2" t="s">
        <v>12</v>
      </c>
      <c r="F14" s="2"/>
    </row>
    <row r="15" customFormat="false" ht="42" hidden="false" customHeight="true" outlineLevel="0" collapsed="false">
      <c r="A15" s="3" t="s">
        <v>234</v>
      </c>
      <c r="B15" s="4" t="s">
        <v>235</v>
      </c>
      <c r="C15" s="30" t="n">
        <f aca="false">('Neon Storage Estimates'!G14/1024)*C4</f>
        <v>0.802507624030113</v>
      </c>
      <c r="D15" s="30" t="n">
        <f aca="false">('Neon Storage Estimates'!H14/1024)*C4</f>
        <v>3.73511761426926</v>
      </c>
      <c r="E15" s="4" t="s">
        <v>236</v>
      </c>
      <c r="F15" s="4"/>
    </row>
    <row r="16" customFormat="false" ht="42" hidden="false" customHeight="true" outlineLevel="0" collapsed="false">
      <c r="A16" s="8" t="s">
        <v>237</v>
      </c>
      <c r="B16" s="9" t="s">
        <v>238</v>
      </c>
      <c r="C16" s="30" t="n">
        <f aca="false">(C10*C7/1024)*C5</f>
        <v>0.068359375</v>
      </c>
      <c r="D16" s="30" t="n">
        <f aca="false">(C11*C7/1024)*C5</f>
        <v>0.2734375</v>
      </c>
      <c r="E16" s="9" t="s">
        <v>239</v>
      </c>
      <c r="F16" s="9"/>
    </row>
    <row r="17" customFormat="false" ht="42" hidden="false" customHeight="true" outlineLevel="0" collapsed="false">
      <c r="A17" s="3" t="s">
        <v>240</v>
      </c>
      <c r="B17" s="4" t="s">
        <v>241</v>
      </c>
      <c r="C17" s="30" t="n">
        <f aca="false">C6*C8*30</f>
        <v>9.6</v>
      </c>
      <c r="D17" s="30" t="n">
        <f aca="false">C6*C9*30</f>
        <v>28.8</v>
      </c>
      <c r="E17" s="4" t="s">
        <v>242</v>
      </c>
      <c r="F17" s="4"/>
    </row>
    <row r="18" customFormat="false" ht="15" hidden="false" customHeight="false" outlineLevel="0" collapsed="false">
      <c r="A18" s="21" t="s">
        <v>243</v>
      </c>
      <c r="B18" s="22"/>
      <c r="C18" s="31" t="n">
        <f aca="false">SUM(C15:C17)</f>
        <v>10.4708669990301</v>
      </c>
      <c r="D18" s="31" t="n">
        <f aca="false">SUM(D15:D17)</f>
        <v>32.8085551142693</v>
      </c>
    </row>
    <row r="20" customFormat="false" ht="15" hidden="false" customHeight="false" outlineLevel="0" collapsed="false">
      <c r="A20" s="32" t="s">
        <v>244</v>
      </c>
      <c r="B20" s="32"/>
      <c r="C20" s="32"/>
      <c r="D20" s="32"/>
      <c r="E20" s="32"/>
      <c r="F20" s="32"/>
    </row>
    <row r="22" customFormat="false" ht="30" hidden="false" customHeight="true" outlineLevel="0" collapsed="false">
      <c r="A22" s="33" t="s">
        <v>245</v>
      </c>
      <c r="B22" s="33"/>
      <c r="C22" s="33"/>
      <c r="D22" s="33"/>
      <c r="E22" s="33"/>
      <c r="F22" s="33"/>
    </row>
  </sheetData>
  <mergeCells count="8">
    <mergeCell ref="A1:F1"/>
    <mergeCell ref="A3:C3"/>
    <mergeCell ref="E14:F14"/>
    <mergeCell ref="E15:F15"/>
    <mergeCell ref="E16:F16"/>
    <mergeCell ref="E17:F17"/>
    <mergeCell ref="A20:F20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2026-04-11T23:21:14Z</dcterms:created>
  <dc:creator>openpyxl</dc:creator>
  <dc:description/>
  <dc:language>en-US</dc:language>
  <cp:lastModifiedBy/>
  <dcterms:modified xsi:type="dcterms:W3CDTF">2026-04-11T23:21:14Z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