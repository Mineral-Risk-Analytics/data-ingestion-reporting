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acility Seed" sheetId="1" state="visible" r:id="rId1"/>
    <sheet xmlns:r="http://schemas.openxmlformats.org/officeDocument/2006/relationships" name="Critical Minerals" sheetId="2" state="visible" r:id="rId2"/>
    <sheet xmlns:r="http://schemas.openxmlformats.org/officeDocument/2006/relationships" name="Valid Values" sheetId="3" state="visible" r:id="rId3"/>
    <sheet xmlns:r="http://schemas.openxmlformats.org/officeDocument/2006/relationships" name="Non-battery Context" sheetId="4" state="visible" r:id="rId4"/>
    <sheet xmlns:r="http://schemas.openxmlformats.org/officeDocument/2006/relationships" name="Units Audit" sheetId="5" state="visible" r:id="rId5"/>
  </sheets>
  <definedNames/>
  <calcPr calcId="124519" fullCalcOnLoad="1"/>
</workbook>
</file>

<file path=xl/styles.xml><?xml version="1.0" encoding="utf-8"?>
<styleSheet xmlns="http://schemas.openxmlformats.org/spreadsheetml/2006/main">
  <numFmts count="0"/>
  <fonts count="31">
    <font>
      <name val="Calibri"/>
      <color theme="1"/>
      <sz val="11"/>
      <scheme val="minor"/>
    </font>
    <font>
      <name val="Arial"/>
      <b val="1"/>
      <color theme="1"/>
      <sz val="11"/>
    </font>
    <font>
      <name val="Calibri"/>
      <color theme="1"/>
      <sz val="11"/>
    </font>
    <font>
      <name val="Arial"/>
      <i val="1"/>
      <color rgb="FF666666"/>
      <sz val="9"/>
    </font>
    <font>
      <name val="Arial"/>
      <i val="1"/>
      <color rgb="FF6B5500"/>
      <sz val="10"/>
    </font>
    <font>
      <name val="Lemance"/>
      <color rgb="FF5B5B5B"/>
      <sz val="14"/>
    </font>
    <font>
      <name val="Arial"/>
      <i val="1"/>
      <color rgb="FF6B5500"/>
      <sz val="10"/>
      <u val="single"/>
    </font>
    <font>
      <name val="Quattrocento Sans"/>
      <color theme="1"/>
      <sz val="11"/>
    </font>
    <font>
      <name val="Arial"/>
      <color theme="1"/>
      <sz val="11"/>
    </font>
    <font>
      <name val="Quattrocento Sans"/>
      <color rgb="FF0000FF"/>
      <sz val="11"/>
      <u val="single"/>
    </font>
    <font>
      <name val="&quot;Aptos Narrow&quot;"/>
      <color rgb="FF000000"/>
      <sz val="11"/>
    </font>
    <font>
      <name val="Calibri"/>
      <color theme="1"/>
      <scheme val="minor"/>
    </font>
    <font>
      <name val="Calibri"/>
      <color theme="1"/>
    </font>
    <font>
      <name val="&quot;Aptos Narrow&quot;"/>
      <color rgb="FF000000"/>
      <sz val="11"/>
      <u val="single"/>
    </font>
    <font>
      <name val="&quot;Aptos Narrow&quot;"/>
      <color rgb="FF000000"/>
      <sz val="11"/>
      <u val="single"/>
    </font>
    <font>
      <name val="Arial"/>
      <color rgb="FF000000"/>
      <sz val="11"/>
    </font>
    <font>
      <name val="&quot;Aptos Narrow&quot;"/>
      <color rgb="FF0000FF"/>
      <sz val="11"/>
      <u val="single"/>
    </font>
    <font>
      <name val="&quot;Aptos Narrow&quot;"/>
      <color rgb="FF9C5700"/>
      <sz val="11"/>
    </font>
    <font>
      <name val="Arial"/>
      <i val="1"/>
      <color rgb="FF2E5984"/>
      <sz val="9"/>
    </font>
    <font>
      <name val="Arial"/>
      <b val="1"/>
      <color rgb="FFFFFFFF"/>
      <sz val="11"/>
    </font>
    <font>
      <name val="Arial"/>
      <color theme="1"/>
      <sz val="10"/>
    </font>
    <font>
      <name val="Arial"/>
      <b val="1"/>
      <color rgb="FFA4262C"/>
      <sz val="10"/>
    </font>
    <font>
      <name val="Arial"/>
      <b val="1"/>
      <color theme="1"/>
      <sz val="10"/>
    </font>
    <font>
      <name val="Arial"/>
      <b val="1"/>
      <color rgb="FF2E7D32"/>
      <sz val="11"/>
    </font>
    <font>
      <name val="Arial"/>
      <b val="1"/>
      <color rgb="FFA4262C"/>
      <sz val="11"/>
    </font>
    <font>
      <name val="Arial"/>
      <b val="1"/>
      <color rgb="FF666666"/>
      <sz val="11"/>
    </font>
    <font>
      <name val="Arial"/>
      <i val="1"/>
      <color rgb="FF666666"/>
      <sz val="10"/>
    </font>
    <font>
      <name val="Arial"/>
      <i val="1"/>
      <color rgb="FF404040"/>
      <sz val="9"/>
    </font>
    <font>
      <name val="Arial"/>
      <sz val="10"/>
    </font>
    <font>
      <name val="Arial"/>
      <b val="1"/>
      <sz val="10"/>
    </font>
    <font>
      <b val="1"/>
    </font>
  </fonts>
  <fills count="16">
    <fill>
      <patternFill/>
    </fill>
    <fill>
      <patternFill patternType="lightGray"/>
    </fill>
    <fill>
      <patternFill patternType="solid">
        <fgColor rgb="FFF5F5F5"/>
        <bgColor rgb="FFF5F5F5"/>
      </patternFill>
    </fill>
    <fill>
      <patternFill patternType="solid">
        <fgColor rgb="FFFFF4D6"/>
        <bgColor rgb="FFFFF4D6"/>
      </patternFill>
    </fill>
    <fill>
      <patternFill patternType="solid">
        <fgColor rgb="FFFFFFFF"/>
        <bgColor rgb="FFFFFFFF"/>
      </patternFill>
    </fill>
    <fill>
      <patternFill patternType="solid">
        <fgColor rgb="FFFFFF00"/>
        <bgColor rgb="FFFFFF00"/>
      </patternFill>
    </fill>
    <fill>
      <patternFill patternType="solid">
        <fgColor rgb="FFFBE2D5"/>
        <bgColor rgb="FFFBE2D5"/>
      </patternFill>
    </fill>
    <fill>
      <patternFill patternType="solid">
        <fgColor rgb="FFFFEB9C"/>
        <bgColor rgb="FFFFEB9C"/>
      </patternFill>
    </fill>
    <fill>
      <patternFill patternType="solid">
        <fgColor rgb="FFE8F0FA"/>
        <bgColor rgb="FFE8F0FA"/>
      </patternFill>
    </fill>
    <fill>
      <patternFill patternType="solid">
        <fgColor rgb="FF2E2A4A"/>
        <bgColor rgb="FF2E2A4A"/>
      </patternFill>
    </fill>
    <fill>
      <patternFill patternType="solid">
        <fgColor rgb="FFDCEFD3"/>
        <bgColor rgb="FFDCEFD3"/>
      </patternFill>
    </fill>
    <fill>
      <patternFill patternType="solid">
        <fgColor rgb="FFFCE4E4"/>
        <bgColor rgb="FFFCE4E4"/>
      </patternFill>
    </fill>
    <fill>
      <patternFill patternType="solid">
        <fgColor rgb="FFF0F0F0"/>
        <bgColor rgb="FFF0F0F0"/>
      </patternFill>
    </fill>
    <fill>
      <patternFill patternType="solid">
        <fgColor rgb="FF1F4E78"/>
      </patternFill>
    </fill>
    <fill>
      <patternFill patternType="solid">
        <fgColor rgb="FFEFEFEF"/>
      </patternFill>
    </fill>
    <fill>
      <patternFill patternType="solid">
        <fgColor rgb="00D9E1F2"/>
      </patternFill>
    </fill>
  </fills>
  <borders count="4">
    <border/>
    <border>
      <left style="thin">
        <color rgb="FFCCCCCC"/>
      </left>
      <right style="thin">
        <color rgb="FFCCCCCC"/>
      </right>
      <top style="thin">
        <color rgb="FFCCCCCC"/>
      </top>
      <bottom style="thin">
        <color rgb="FFCCCCCC"/>
      </bottom>
    </border>
    <border>
      <left style="thin">
        <color rgb="FFE6E6E6"/>
      </left>
      <right style="thin">
        <color rgb="FFE6E6E6"/>
      </right>
      <top style="thin">
        <color rgb="FFE6E6E6"/>
      </top>
      <bottom style="thin">
        <color rgb="FFE6E6E6"/>
      </bottom>
    </border>
    <border>
      <left/>
      <right/>
      <top/>
      <bottom/>
    </border>
  </borders>
  <cellStyleXfs count="1">
    <xf numFmtId="0" fontId="0" fillId="0" borderId="0"/>
  </cellStyleXfs>
  <cellXfs count="88">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left" vertical="top" wrapText="1"/>
    </xf>
    <xf numFmtId="0" fontId="3"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horizontal="left" vertical="top" wrapText="1"/>
    </xf>
    <xf numFmtId="0" fontId="4" fillId="3" borderId="1" applyAlignment="1" pivotButton="0" quotePrefix="0" xfId="0">
      <alignment vertical="top" wrapText="1"/>
    </xf>
    <xf numFmtId="0" fontId="4" fillId="3" borderId="1" applyAlignment="1" pivotButton="0" quotePrefix="0" xfId="0">
      <alignment vertical="top" wrapText="1"/>
    </xf>
    <xf numFmtId="3" fontId="4" fillId="3" borderId="1" applyAlignment="1" pivotButton="0" quotePrefix="0" xfId="0">
      <alignment horizontal="left" vertical="top" wrapText="1"/>
    </xf>
    <xf numFmtId="0" fontId="5" fillId="4" borderId="0" pivotButton="0" quotePrefix="0" xfId="0"/>
    <xf numFmtId="0" fontId="4" fillId="3" borderId="0" applyAlignment="1" pivotButton="0" quotePrefix="0" xfId="0">
      <alignment horizontal="left" vertical="top" wrapText="1"/>
    </xf>
    <xf numFmtId="0" fontId="4" fillId="3" borderId="0" applyAlignment="1" pivotButton="0" quotePrefix="0" xfId="0">
      <alignment vertical="top" wrapText="1"/>
    </xf>
    <xf numFmtId="0" fontId="4" fillId="3" borderId="0" applyAlignment="1" pivotButton="0" quotePrefix="0" xfId="0">
      <alignment vertical="top" wrapText="1"/>
    </xf>
    <xf numFmtId="3" fontId="4" fillId="3" borderId="0" applyAlignment="1" pivotButton="0" quotePrefix="0" xfId="0">
      <alignment horizontal="left" vertical="top" wrapText="1"/>
    </xf>
    <xf numFmtId="0" fontId="4" fillId="3" borderId="0" applyAlignment="1" pivotButton="0" quotePrefix="0" xfId="0">
      <alignment vertical="top" wrapText="1"/>
    </xf>
    <xf numFmtId="0" fontId="6" fillId="3" borderId="0" applyAlignment="1" pivotButton="0" quotePrefix="0" xfId="0">
      <alignment horizontal="left" vertical="top" wrapText="1"/>
    </xf>
    <xf numFmtId="0" fontId="7" fillId="0" borderId="0" applyAlignment="1" pivotButton="0" quotePrefix="0" xfId="0">
      <alignment vertical="center"/>
    </xf>
    <xf numFmtId="0" fontId="8"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xf>
    <xf numFmtId="3" fontId="8" fillId="0" borderId="0" applyAlignment="1" pivotButton="0" quotePrefix="0" xfId="0">
      <alignment vertical="center"/>
    </xf>
    <xf numFmtId="0" fontId="8" fillId="0" borderId="0" applyAlignment="1" pivotButton="0" quotePrefix="0" xfId="0">
      <alignment vertical="center"/>
    </xf>
    <xf numFmtId="0" fontId="7" fillId="0" borderId="0" applyAlignment="1" pivotButton="0" quotePrefix="0" xfId="0">
      <alignment vertical="center"/>
    </xf>
    <xf numFmtId="0" fontId="9" fillId="0" borderId="0" applyAlignment="1" pivotButton="0" quotePrefix="0" xfId="0">
      <alignment vertical="center"/>
    </xf>
    <xf numFmtId="0" fontId="2" fillId="0" borderId="0" applyAlignment="1" pivotButton="0" quotePrefix="0" xfId="0">
      <alignment vertical="center"/>
    </xf>
    <xf numFmtId="0" fontId="10" fillId="0" borderId="0" applyAlignment="1" pivotButton="0" quotePrefix="0" xfId="0">
      <alignment vertical="bottom"/>
    </xf>
    <xf numFmtId="0" fontId="11" fillId="0" borderId="0" applyAlignment="1" pivotButton="0" quotePrefix="0" xfId="0">
      <alignment vertical="center"/>
    </xf>
    <xf numFmtId="0" fontId="12"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xf>
    <xf numFmtId="0" fontId="10" fillId="0" borderId="0" applyAlignment="1" pivotButton="0" quotePrefix="0" xfId="0">
      <alignment vertical="bottom"/>
    </xf>
    <xf numFmtId="0" fontId="10" fillId="0" borderId="0" applyAlignment="1" pivotButton="0" quotePrefix="0" xfId="0">
      <alignment vertical="bottom"/>
    </xf>
    <xf numFmtId="0" fontId="10" fillId="0" borderId="0" applyAlignment="1" pivotButton="0" quotePrefix="0" xfId="0">
      <alignment vertical="bottom"/>
    </xf>
    <xf numFmtId="0" fontId="13" fillId="0" borderId="0" applyAlignment="1" pivotButton="0" quotePrefix="0" xfId="0">
      <alignment vertical="bottom"/>
    </xf>
    <xf numFmtId="0" fontId="10" fillId="0" borderId="0" applyAlignment="1" pivotButton="0" quotePrefix="0" xfId="0">
      <alignment horizontal="right" vertical="bottom"/>
    </xf>
    <xf numFmtId="0" fontId="10" fillId="5" borderId="0" applyAlignment="1" pivotButton="0" quotePrefix="0" xfId="0">
      <alignment vertical="bottom"/>
    </xf>
    <xf numFmtId="0" fontId="10" fillId="5" borderId="0" applyAlignment="1" pivotButton="0" quotePrefix="0" xfId="0">
      <alignment vertical="bottom"/>
    </xf>
    <xf numFmtId="0" fontId="10" fillId="5" borderId="0" applyAlignment="1" pivotButton="0" quotePrefix="0" xfId="0">
      <alignment vertical="bottom"/>
    </xf>
    <xf numFmtId="0" fontId="10" fillId="5" borderId="0" applyAlignment="1" pivotButton="0" quotePrefix="0" xfId="0">
      <alignment vertical="bottom"/>
    </xf>
    <xf numFmtId="0" fontId="14" fillId="5" borderId="0" applyAlignment="1" pivotButton="0" quotePrefix="0" xfId="0">
      <alignment vertical="bottom"/>
    </xf>
    <xf numFmtId="3" fontId="10" fillId="0" borderId="0" applyAlignment="1" pivotButton="0" quotePrefix="0" xfId="0">
      <alignment vertical="bottom"/>
    </xf>
    <xf numFmtId="0" fontId="10" fillId="6" borderId="0" applyAlignment="1" pivotButton="0" quotePrefix="0" xfId="0">
      <alignment vertical="bottom"/>
    </xf>
    <xf numFmtId="0" fontId="10" fillId="6" borderId="0" applyAlignment="1" pivotButton="0" quotePrefix="0" xfId="0">
      <alignment vertical="bottom"/>
    </xf>
    <xf numFmtId="0" fontId="10" fillId="6" borderId="0" applyAlignment="1" pivotButton="0" quotePrefix="0" xfId="0">
      <alignment vertical="bottom"/>
    </xf>
    <xf numFmtId="3" fontId="10" fillId="6" borderId="0" applyAlignment="1" pivotButton="0" quotePrefix="0" xfId="0">
      <alignment vertical="bottom"/>
    </xf>
    <xf numFmtId="0" fontId="10" fillId="6" borderId="0" applyAlignment="1" pivotButton="0" quotePrefix="0" xfId="0">
      <alignment vertical="bottom"/>
    </xf>
    <xf numFmtId="0" fontId="15" fillId="0" borderId="0" applyAlignment="1" pivotButton="0" quotePrefix="0" xfId="0">
      <alignment vertical="bottom"/>
    </xf>
    <xf numFmtId="3" fontId="10" fillId="0" borderId="0" applyAlignment="1" pivotButton="0" quotePrefix="0" xfId="0">
      <alignment horizontal="right" vertical="bottom"/>
    </xf>
    <xf numFmtId="0" fontId="16" fillId="0" borderId="0" applyAlignment="1" pivotButton="0" quotePrefix="0" xfId="0">
      <alignment vertical="bottom"/>
    </xf>
    <xf numFmtId="3" fontId="15" fillId="0" borderId="0" applyAlignment="1" pivotButton="0" quotePrefix="0" xfId="0">
      <alignment vertical="bottom"/>
    </xf>
    <xf numFmtId="0" fontId="15" fillId="0" borderId="0" applyAlignment="1" pivotButton="0" quotePrefix="0" xfId="0">
      <alignment vertical="bottom"/>
    </xf>
    <xf numFmtId="0" fontId="10" fillId="0" borderId="2" applyAlignment="1" pivotButton="0" quotePrefix="0" xfId="0">
      <alignment vertical="center"/>
    </xf>
    <xf numFmtId="0" fontId="17" fillId="7" borderId="0" applyAlignment="1" pivotButton="0" quotePrefix="0" xfId="0">
      <alignment vertical="bottom"/>
    </xf>
    <xf numFmtId="0" fontId="10" fillId="0" borderId="2" applyAlignment="1" pivotButton="0" quotePrefix="0" xfId="0">
      <alignment vertical="center"/>
    </xf>
    <xf numFmtId="0" fontId="12" fillId="0" borderId="0" pivotButton="0" quotePrefix="0" xfId="0"/>
    <xf numFmtId="0" fontId="10" fillId="0" borderId="0" applyAlignment="1" pivotButton="0" quotePrefix="0" xfId="0">
      <alignment vertical="bottom"/>
    </xf>
    <xf numFmtId="0" fontId="18" fillId="8" borderId="3" applyAlignment="1" pivotButton="0" quotePrefix="0" xfId="0">
      <alignment horizontal="left" vertical="center" wrapText="1"/>
    </xf>
    <xf numFmtId="0" fontId="19" fillId="9" borderId="1" applyAlignment="1" pivotButton="0" quotePrefix="0" xfId="0">
      <alignment horizontal="center" vertical="center" wrapText="1"/>
    </xf>
    <xf numFmtId="0" fontId="20" fillId="0" borderId="1" applyAlignment="1" pivotButton="0" quotePrefix="0" xfId="0">
      <alignment horizontal="left" vertical="center" wrapText="1"/>
    </xf>
    <xf numFmtId="0" fontId="20" fillId="0" borderId="1" applyAlignment="1" pivotButton="0" quotePrefix="0" xfId="0">
      <alignment horizontal="right" vertical="center"/>
    </xf>
    <xf numFmtId="0" fontId="20" fillId="10" borderId="1" applyAlignment="1" pivotButton="0" quotePrefix="0" xfId="0">
      <alignment horizontal="right" vertical="center"/>
    </xf>
    <xf numFmtId="0" fontId="21" fillId="11" borderId="1" applyAlignment="1" pivotButton="0" quotePrefix="0" xfId="0">
      <alignment horizontal="right" vertical="center"/>
    </xf>
    <xf numFmtId="0" fontId="20" fillId="12" borderId="1" applyAlignment="1" pivotButton="0" quotePrefix="0" xfId="0">
      <alignment horizontal="right" vertical="center"/>
    </xf>
    <xf numFmtId="0" fontId="20" fillId="3" borderId="1" applyAlignment="1" pivotButton="0" quotePrefix="0" xfId="0">
      <alignment horizontal="right" vertical="center"/>
    </xf>
    <xf numFmtId="0" fontId="1" fillId="0" borderId="0" applyAlignment="1" pivotButton="0" quotePrefix="0" xfId="0">
      <alignment vertical="bottom"/>
    </xf>
    <xf numFmtId="0" fontId="22" fillId="0" borderId="1" applyAlignment="1" pivotButton="0" quotePrefix="0" xfId="0">
      <alignment vertical="bottom"/>
    </xf>
    <xf numFmtId="0" fontId="23" fillId="0" borderId="0" applyAlignment="1" pivotButton="0" quotePrefix="0" xfId="0">
      <alignment vertical="bottom"/>
    </xf>
    <xf numFmtId="0" fontId="24" fillId="0" borderId="0" applyAlignment="1" pivotButton="0" quotePrefix="0" xfId="0">
      <alignment vertical="bottom"/>
    </xf>
    <xf numFmtId="0" fontId="25" fillId="0" borderId="0" applyAlignment="1" pivotButton="0" quotePrefix="0" xfId="0">
      <alignment vertical="bottom"/>
    </xf>
    <xf numFmtId="0" fontId="19" fillId="9" borderId="1" applyAlignment="1" pivotButton="0" quotePrefix="0" xfId="0">
      <alignment horizontal="center" vertical="center"/>
    </xf>
    <xf numFmtId="0" fontId="1" fillId="0" borderId="1" applyAlignment="1" pivotButton="0" quotePrefix="0" xfId="0">
      <alignment vertical="bottom"/>
    </xf>
    <xf numFmtId="0" fontId="20" fillId="0" borderId="1" applyAlignment="1" pivotButton="0" quotePrefix="0" xfId="0">
      <alignment vertical="top" wrapText="1"/>
    </xf>
    <xf numFmtId="0" fontId="26" fillId="0" borderId="1" applyAlignment="1" pivotButton="0" quotePrefix="0" xfId="0">
      <alignment vertical="top" wrapText="1"/>
    </xf>
    <xf numFmtId="0" fontId="0" fillId="0" borderId="0" pivotButton="0" quotePrefix="0" xfId="0"/>
    <xf numFmtId="0" fontId="19" fillId="13" borderId="0" applyAlignment="1" pivotButton="0" quotePrefix="0" xfId="0">
      <alignment horizontal="center" vertical="center" wrapText="1"/>
    </xf>
    <xf numFmtId="0" fontId="27" fillId="14" borderId="0" applyAlignment="1" pivotButton="0" quotePrefix="0" xfId="0">
      <alignment vertical="top" wrapText="1"/>
    </xf>
    <xf numFmtId="0" fontId="28" fillId="6" borderId="0" applyAlignment="1" pivotButton="0" quotePrefix="0" xfId="0">
      <alignment vertical="top" wrapText="1"/>
    </xf>
    <xf numFmtId="3" fontId="28" fillId="6" borderId="0" applyAlignment="1" pivotButton="0" quotePrefix="0" xfId="0">
      <alignment vertical="top" wrapText="1"/>
    </xf>
    <xf numFmtId="0" fontId="28" fillId="0" borderId="0" applyAlignment="1" pivotButton="0" quotePrefix="0" xfId="0">
      <alignment vertical="top" wrapText="1"/>
    </xf>
    <xf numFmtId="0" fontId="28" fillId="5" borderId="0" applyAlignment="1" pivotButton="0" quotePrefix="0" xfId="0">
      <alignment vertical="top" wrapText="1"/>
    </xf>
    <xf numFmtId="3" fontId="28" fillId="0" borderId="0" applyAlignment="1" pivotButton="0" quotePrefix="0" xfId="0">
      <alignment vertical="top" wrapText="1"/>
    </xf>
    <xf numFmtId="0" fontId="29" fillId="0" borderId="0" pivotButton="0" quotePrefix="0" xfId="0"/>
    <xf numFmtId="0" fontId="28" fillId="8" borderId="3" applyAlignment="1" pivotButton="0" quotePrefix="0" xfId="0">
      <alignment vertical="top" wrapText="1"/>
    </xf>
    <xf numFmtId="0" fontId="2" fillId="0" borderId="0" applyAlignment="1" pivotButton="0" quotePrefix="0" xfId="0">
      <alignment vertical="top" wrapText="1"/>
    </xf>
    <xf numFmtId="0" fontId="12" fillId="0" borderId="0" applyAlignment="1" pivotButton="0" quotePrefix="0" xfId="0">
      <alignment vertical="top" wrapText="1"/>
    </xf>
    <xf numFmtId="0" fontId="0" fillId="0" borderId="0" applyAlignment="1" pivotButton="0" quotePrefix="0" xfId="0">
      <alignment vertical="top" wrapText="1"/>
    </xf>
    <xf numFmtId="0" fontId="30" fillId="15"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Facility Seed-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V90" headerRowCount="1">
  <tableColumns count="22">
    <tableColumn id="1" name="company_name"/>
    <tableColumn id="2" name="company_country"/>
    <tableColumn id="3" name="facility_name"/>
    <tableColumn id="4" name="facility_type"/>
    <tableColumn id="5" name="country"/>
    <tableColumn id="6" name="region"/>
    <tableColumn id="7" name="city"/>
    <tableColumn id="8" name="lat"/>
    <tableColumn id="9" name="lon"/>
    <tableColumn id="10" name="status"/>
    <tableColumn id="11" name="material_canonical"/>
    <tableColumn id="12" name="capacity_tpy"/>
    <tableColumn id="13" name="capacity_unit"/>
    <tableColumn id="14" name="production_tpy"/>
    <tableColumn id="15" name="production_unit"/>
    <tableColumn id="16" name="is_primary_product"/>
    <tableColumn id="17" name="supply_chain_stage"/>
    <tableColumn id="18" name="hs_code"/>
    <tableColumn id="19" name="ownership_type"/>
    <tableColumn id="20" name="ownership_pct"/>
    <tableColumn id="21" name="source_url"/>
    <tableColumn id="22" name="notes"/>
  </tableColumns>
  <tableStyleInfo name="Facility Seed-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albemarle.com/businesses/lithium/kemerton" TargetMode="External" Id="rId1"/><Relationship Type="http://schemas.openxmlformats.org/officeDocument/2006/relationships/hyperlink" Target="https://www.albemarle.com/businesses/lithium/kemerton" TargetMode="External" Id="rId2"/><Relationship Type="http://schemas.openxmlformats.org/officeDocument/2006/relationships/hyperlink" Target="https://www.albemarle.com/businesses/lithium/kemerton" TargetMode="External" Id="rId3"/><Relationship Type="http://schemas.openxmlformats.org/officeDocument/2006/relationships/hyperlink" Target="https://www.albemarle.com/businesses/lithium/kemerton" TargetMode="External" Id="rId4"/><Relationship Type="http://schemas.openxmlformats.org/officeDocument/2006/relationships/hyperlink" Target="http://critical-minerals-news.com" TargetMode="External" Id="rId5"/><Relationship Type="http://schemas.openxmlformats.org/officeDocument/2006/relationships/hyperlink" Target="http://critical-minerals-news.com" TargetMode="External" Id="rId6"/><Relationship Type="http://schemas.openxmlformats.org/officeDocument/2006/relationships/hyperlink" Target="http://albemarle.com" TargetMode="External" Id="rId7"/><Relationship Type="http://schemas.openxmlformats.org/officeDocument/2006/relationships/hyperlink" Target="http://cnbc.com" TargetMode="External" Id="rId8"/><Relationship Type="http://schemas.openxmlformats.org/officeDocument/2006/relationships/hyperlink" Target="http://albemarle.com" TargetMode="External" Id="rId9"/><Relationship Type="http://schemas.openxmlformats.org/officeDocument/2006/relationships/hyperlink" Target="http://albemarle.com" TargetMode="External" Id="rId10"/><Relationship Type="http://schemas.openxmlformats.org/officeDocument/2006/relationships/hyperlink" Target="http://cen.acs.org" TargetMode="External" Id="rId11"/><Relationship Type="http://schemas.openxmlformats.org/officeDocument/2006/relationships/hyperlink" Target="http://lynasrareearths.com" TargetMode="External" Id="rId12"/><Relationship Type="http://schemas.openxmlformats.org/officeDocument/2006/relationships/hyperlink" Target="http://lynasrareearths.com" TargetMode="External" Id="rId13"/><Relationship Type="http://schemas.openxmlformats.org/officeDocument/2006/relationships/hyperlink" Target="http://lynasrareearths.com" TargetMode="External" Id="rId14"/><Relationship Type="http://schemas.openxmlformats.org/officeDocument/2006/relationships/hyperlink" Target="http://rareearthexchanges.com" TargetMode="External" Id="rId15"/><Relationship Type="http://schemas.openxmlformats.org/officeDocument/2006/relationships/hyperlink" Target="http://lynasrareearths.com" TargetMode="External" Id="rId16"/><Relationship Type="http://schemas.openxmlformats.org/officeDocument/2006/relationships/hyperlink" Target="http://mpmaterials.com" TargetMode="External" Id="rId17"/><Relationship Type="http://schemas.openxmlformats.org/officeDocument/2006/relationships/hyperlink" Target="http://mpmaterials.com" TargetMode="External" Id="rId18"/><Relationship Type="http://schemas.openxmlformats.org/officeDocument/2006/relationships/hyperlink" Target="http://mpmaterials.com" TargetMode="External" Id="rId19"/><Relationship Type="http://schemas.openxmlformats.org/officeDocument/2006/relationships/hyperlink" Target="http://austinio.com" TargetMode="External" Id="rId20"/><Relationship Type="http://schemas.openxmlformats.org/officeDocument/2006/relationships/hyperlink" Target="http://ganfeng.com" TargetMode="External" Id="rId21"/><Relationship Type="http://schemas.openxmlformats.org/officeDocument/2006/relationships/hyperlink" Target="http://ganfeng.com" TargetMode="External" Id="rId22"/><Relationship Type="http://schemas.openxmlformats.org/officeDocument/2006/relationships/hyperlink" Target="http://ganfeng.com" TargetMode="External" Id="rId23"/><Relationship Type="http://schemas.openxmlformats.org/officeDocument/2006/relationships/hyperlink" Target="http://wikipedia.org" TargetMode="External" Id="rId24"/><Relationship Type="http://schemas.openxmlformats.org/officeDocument/2006/relationships/hyperlink" Target="http://ganfeng.com" TargetMode="External" Id="rId25"/><Relationship Type="http://schemas.openxmlformats.org/officeDocument/2006/relationships/hyperlink" Target="http://ganfeng.com" TargetMode="External" Id="rId26"/><Relationship Type="http://schemas.openxmlformats.org/officeDocument/2006/relationships/hyperlink" Target="http://wikipedia.org" TargetMode="External" Id="rId27"/><Relationship Type="http://schemas.openxmlformats.org/officeDocument/2006/relationships/hyperlink" Target="http://ganfeng.com" TargetMode="External" Id="rId28"/><Relationship Type="http://schemas.openxmlformats.org/officeDocument/2006/relationships/hyperlink" Target="http://ganfeng.com" TargetMode="External" Id="rId29"/><Relationship Type="http://schemas.openxmlformats.org/officeDocument/2006/relationships/hyperlink" Target="https://www.datocms-assets.com/65260/1774572803-syr_2025_annual_report.pdf" TargetMode="External" Id="rId30"/><Relationship Type="http://schemas.openxmlformats.org/officeDocument/2006/relationships/table" Target="/xl/tables/table1.xml" Id="rId31"/></Relationships>
</file>

<file path=xl/worksheets/sheet1.xml><?xml version="1.0" encoding="utf-8"?>
<worksheet xmlns="http://schemas.openxmlformats.org/spreadsheetml/2006/main">
  <sheetPr>
    <outlinePr summaryBelow="1" summaryRight="1"/>
    <pageSetUpPr/>
  </sheetPr>
  <dimension ref="A1:AA343"/>
  <sheetViews>
    <sheetView workbookViewId="0">
      <pane ySplit="2" topLeftCell="A3" activePane="bottomLeft" state="frozen"/>
      <selection pane="bottomLeft" activeCell="B4" sqref="B4"/>
    </sheetView>
  </sheetViews>
  <sheetFormatPr baseColWidth="8" defaultColWidth="14.43" defaultRowHeight="15" customHeight="1"/>
  <cols>
    <col width="41.14" customWidth="1" style="74" min="1" max="1"/>
    <col width="14.14" customWidth="1" style="74" min="2" max="2"/>
    <col width="43" customWidth="1" style="74" min="3" max="3"/>
    <col width="17.86" customWidth="1" style="74" min="4" max="4"/>
    <col width="10" customWidth="1" style="74" min="5" max="5"/>
    <col width="22" customWidth="1" style="74" min="6" max="6"/>
    <col width="16.43" customWidth="1" style="74" min="7" max="7"/>
    <col width="12.43" customWidth="1" style="74" min="8" max="9"/>
    <col width="21.71" customWidth="1" style="74" min="10" max="10"/>
    <col width="22" customWidth="1" style="74" min="11" max="11"/>
    <col width="13" customWidth="1" style="74" min="12" max="12"/>
    <col width="16.57" customWidth="1" style="74" min="13" max="13"/>
    <col width="16.14" customWidth="1" style="74" min="14" max="14"/>
    <col width="15.57" customWidth="1" style="74" min="15" max="15"/>
    <col width="20.14" customWidth="1" style="74" min="16" max="16"/>
    <col width="21.57" customWidth="1" style="74" min="17" max="17"/>
    <col width="11" customWidth="1" style="74" min="18" max="18"/>
    <col width="17.43" customWidth="1" style="74" min="19" max="19"/>
    <col width="16.71" customWidth="1" style="74" min="20" max="20"/>
    <col width="40" customWidth="1" style="74" min="21" max="21"/>
    <col width="68.29000000000001" customWidth="1" style="74" min="22" max="22"/>
    <col width="14" customWidth="1" style="74" min="23" max="23"/>
    <col width="14" customWidth="1" style="74" min="24" max="24"/>
    <col width="14" customWidth="1" style="74" min="25" max="25"/>
    <col width="14" customWidth="1" style="74" min="26" max="26"/>
    <col width="35" customWidth="1" style="74" min="27" max="27"/>
  </cols>
  <sheetData>
    <row r="1" ht="32.25" customHeight="1" s="74">
      <c r="A1" s="1" t="inlineStr">
        <is>
          <t>company_name</t>
        </is>
      </c>
      <c r="B1" s="1" t="inlineStr">
        <is>
          <t>company_country</t>
        </is>
      </c>
      <c r="C1" s="1" t="inlineStr">
        <is>
          <t>facility_name</t>
        </is>
      </c>
      <c r="D1" s="1" t="inlineStr">
        <is>
          <t>facility_type</t>
        </is>
      </c>
      <c r="E1" s="1" t="inlineStr">
        <is>
          <t>country</t>
        </is>
      </c>
      <c r="F1" s="1" t="inlineStr">
        <is>
          <t>region</t>
        </is>
      </c>
      <c r="G1" s="1" t="inlineStr">
        <is>
          <t>city</t>
        </is>
      </c>
      <c r="H1" s="1" t="inlineStr">
        <is>
          <t>lat</t>
        </is>
      </c>
      <c r="I1" s="1" t="inlineStr">
        <is>
          <t>lon</t>
        </is>
      </c>
      <c r="J1" s="1" t="inlineStr">
        <is>
          <t>status</t>
        </is>
      </c>
      <c r="K1" s="1" t="inlineStr">
        <is>
          <t>material_canonical</t>
        </is>
      </c>
      <c r="L1" s="1" t="inlineStr">
        <is>
          <t>capacity_tpy</t>
        </is>
      </c>
      <c r="M1" s="1" t="inlineStr">
        <is>
          <t>capacity_unit</t>
        </is>
      </c>
      <c r="N1" s="1" t="inlineStr">
        <is>
          <t>production_tpy</t>
        </is>
      </c>
      <c r="O1" s="1" t="inlineStr">
        <is>
          <t>production_unit</t>
        </is>
      </c>
      <c r="P1" s="1" t="inlineStr">
        <is>
          <t>is_primary_product</t>
        </is>
      </c>
      <c r="Q1" s="1" t="inlineStr">
        <is>
          <t>supply_chain_stage</t>
        </is>
      </c>
      <c r="R1" s="1" t="inlineStr">
        <is>
          <t>hs_code</t>
        </is>
      </c>
      <c r="S1" s="1" t="inlineStr">
        <is>
          <t>ownership_type</t>
        </is>
      </c>
      <c r="T1" s="1" t="inlineStr">
        <is>
          <t>ownership_pct</t>
        </is>
      </c>
      <c r="U1" s="1" t="inlineStr">
        <is>
          <t>source_url</t>
        </is>
      </c>
      <c r="V1" s="1" t="inlineStr">
        <is>
          <t>notes</t>
        </is>
      </c>
      <c r="W1" s="75" t="inlineStr">
        <is>
          <t>operating_since</t>
        </is>
      </c>
      <c r="X1" s="75" t="inlineStr">
        <is>
          <t>mine_type</t>
        </is>
      </c>
      <c r="Y1" s="75" t="inlineStr">
        <is>
          <t>process_recovery_pct</t>
        </is>
      </c>
      <c r="Z1" s="75" t="inlineStr">
        <is>
          <t>expected_closure_year</t>
        </is>
      </c>
      <c r="AA1" s="75" t="inlineStr">
        <is>
          <t>product_end_use</t>
        </is>
      </c>
    </row>
    <row r="2" ht="110" customHeight="1" s="74">
      <c r="A2" s="6" t="inlineStr">
        <is>
          <t>Albemarle Corporation</t>
        </is>
      </c>
      <c r="B2" s="6" t="inlineStr">
        <is>
          <t>US</t>
        </is>
      </c>
      <c r="C2" s="11" t="inlineStr">
        <is>
          <t>Greenbushes Lithium Mine</t>
        </is>
      </c>
      <c r="D2" s="15" t="inlineStr">
        <is>
          <t>mine</t>
        </is>
      </c>
      <c r="E2" s="6" t="inlineStr">
        <is>
          <t>AU</t>
        </is>
      </c>
      <c r="F2" s="6" t="inlineStr">
        <is>
          <t>Western Australia</t>
        </is>
      </c>
      <c r="G2" s="11" t="n"/>
      <c r="H2" s="15" t="n">
        <v>-33.86</v>
      </c>
      <c r="I2" s="15" t="n">
        <v>116.07</v>
      </c>
      <c r="J2" s="8" t="inlineStr">
        <is>
          <t>operating</t>
        </is>
      </c>
      <c r="K2" s="6" t="inlineStr">
        <is>
          <t>Lithium</t>
        </is>
      </c>
      <c r="L2" s="14" t="n">
        <v>1500000</v>
      </c>
      <c r="M2" s="15" t="n"/>
      <c r="N2" s="15" t="n">
        <v>19000</v>
      </c>
      <c r="O2" s="15" t="n"/>
      <c r="P2" s="8" t="inlineStr">
        <is>
          <t>TRUE</t>
        </is>
      </c>
      <c r="Q2" s="15" t="inlineStr">
        <is>
          <t>ore</t>
        </is>
      </c>
      <c r="R2" s="11" t="inlineStr">
        <is>
          <t>2530.90</t>
        </is>
      </c>
      <c r="S2" s="8" t="inlineStr">
        <is>
          <t>jv_partner</t>
        </is>
      </c>
      <c r="T2" s="15" t="n">
        <v>0.49</v>
      </c>
      <c r="U2" s="16" t="inlineStr">
        <is>
          <t>https://www.albemarle.com/businesses/lithium/kemerton</t>
        </is>
      </c>
      <c r="V2" s="11" t="inlineStr">
        <is>
          <t>large-scale, long life, hard rock lithium mine with one of the highest ore reserve grades of any hard rock mine in the world *** ALB 10-K Aggregate Annual Production Table (p.34) FY25: 19 kt Li metal (Albemarle 49% attributable via Windfield JV). Stable YoY (19 FY24, 21 FY23). Hard rock spodumene, Australia. Note: raw-basis production would be ~39 kt at 100%. Convert to LCE: 19 × (1/0.1878) = ~101 kt LCE attributable. [stage normalized "Ore, concentrate"-&gt;"ore" 2026-07-07: mine convention (spodumene concentrate noted in product)] [HS BACKFILL 2026-07-10: 2530.90 - spodumene/lepidolite concentrate; from product_end_use/name evidence, H6+mapping-table verified.]</t>
        </is>
      </c>
      <c r="W2" s="10" t="inlineStr">
        <is>
          <t>four spodumene concentrate plants operating</t>
        </is>
      </c>
      <c r="X2" s="2" t="n"/>
      <c r="Y2" s="2" t="n"/>
      <c r="Z2" s="2" t="n"/>
      <c r="AA2"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 ht="30" customHeight="1" s="74">
      <c r="A3" s="11" t="inlineStr">
        <is>
          <t>Tianqi Lithium Energy Australia (TLEA)</t>
        </is>
      </c>
      <c r="B3" s="11" t="inlineStr">
        <is>
          <t>CN</t>
        </is>
      </c>
      <c r="C3" s="11" t="inlineStr">
        <is>
          <t>Greenbushes Lithium Mine</t>
        </is>
      </c>
      <c r="D3" s="15" t="inlineStr">
        <is>
          <t>mine</t>
        </is>
      </c>
      <c r="E3" s="6" t="inlineStr">
        <is>
          <t>AU</t>
        </is>
      </c>
      <c r="F3" s="6" t="inlineStr">
        <is>
          <t>Western Australia</t>
        </is>
      </c>
      <c r="G3" s="11" t="n"/>
      <c r="H3" s="15" t="n">
        <v>-33.86</v>
      </c>
      <c r="I3" s="15" t="n">
        <v>116.07</v>
      </c>
      <c r="J3" s="8" t="inlineStr">
        <is>
          <t>operating</t>
        </is>
      </c>
      <c r="K3" s="6" t="inlineStr">
        <is>
          <t>Lithium</t>
        </is>
      </c>
      <c r="L3" s="14" t="n">
        <v>1500000</v>
      </c>
      <c r="M3" s="15" t="n"/>
      <c r="N3" s="15" t="n">
        <v>19000</v>
      </c>
      <c r="O3" s="15" t="n"/>
      <c r="P3" s="8" t="inlineStr">
        <is>
          <t>TRUE</t>
        </is>
      </c>
      <c r="Q3" s="15" t="inlineStr">
        <is>
          <t>ore</t>
        </is>
      </c>
      <c r="R3" s="11" t="inlineStr">
        <is>
          <t>2530.90</t>
        </is>
      </c>
      <c r="S3" s="8" t="inlineStr">
        <is>
          <t>jv_partner</t>
        </is>
      </c>
      <c r="T3" s="15" t="n">
        <v>0.51</v>
      </c>
      <c r="U3" s="16" t="inlineStr">
        <is>
          <t>https://www.albemarle.com/businesses/lithium/kemerton</t>
        </is>
      </c>
      <c r="V3" s="11" t="inlineStr">
        <is>
          <t>large-scale, long life, hard rock lithium mine with one of the highest ore reserve grades of any hard rock mine in the world [stage normalized "Ore, concentrate"-&gt;"ore" 2026-07-07: mine convention (spodumene concentrate noted in product)] [HS BACKFILL 2026-07-10: 2530.90 - spodumene/lepidolite concentrate; from product_end_use/name evidence, H6+mapping-table verified.]</t>
        </is>
      </c>
      <c r="W3" s="10" t="inlineStr">
        <is>
          <t>four spodumene concentrate plants operating</t>
        </is>
      </c>
      <c r="X3" s="2" t="n"/>
      <c r="Y3" s="2" t="n"/>
      <c r="Z3" s="2" t="n"/>
      <c r="AA3"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4" ht="30" customHeight="1" s="74">
      <c r="A4" s="11" t="inlineStr">
        <is>
          <t>Albemarle Corporation</t>
        </is>
      </c>
      <c r="B4" s="6" t="inlineStr">
        <is>
          <t>US</t>
        </is>
      </c>
      <c r="C4" s="11" t="inlineStr">
        <is>
          <t>Wodgina Lithium Mine</t>
        </is>
      </c>
      <c r="D4" s="15" t="inlineStr">
        <is>
          <t>mine</t>
        </is>
      </c>
      <c r="E4" s="6" t="inlineStr">
        <is>
          <t>AU</t>
        </is>
      </c>
      <c r="F4" s="6" t="inlineStr">
        <is>
          <t>Western Australia</t>
        </is>
      </c>
      <c r="G4" s="11" t="n"/>
      <c r="H4" s="15" t="n">
        <v>-21.175888</v>
      </c>
      <c r="I4" s="15" t="n">
        <v>118.676999</v>
      </c>
      <c r="J4" s="8" t="inlineStr">
        <is>
          <t>operating</t>
        </is>
      </c>
      <c r="K4" s="6" t="inlineStr">
        <is>
          <t>Lithium</t>
        </is>
      </c>
      <c r="L4" s="14" t="n">
        <v>750000</v>
      </c>
      <c r="M4" s="15" t="n"/>
      <c r="N4" s="15" t="n">
        <v>8000</v>
      </c>
      <c r="O4" s="15" t="n"/>
      <c r="P4" s="8" t="inlineStr">
        <is>
          <t>TRUE</t>
        </is>
      </c>
      <c r="Q4" s="15" t="inlineStr">
        <is>
          <t>ore</t>
        </is>
      </c>
      <c r="R4" s="11" t="inlineStr">
        <is>
          <t>2530.90</t>
        </is>
      </c>
      <c r="S4" s="8" t="inlineStr">
        <is>
          <t>jv_partner</t>
        </is>
      </c>
      <c r="T4" s="15" t="n">
        <v>0.5</v>
      </c>
      <c r="U4" s="16" t="inlineStr">
        <is>
          <t>https://www.albemarle.com/businesses/lithium/kemerton</t>
        </is>
      </c>
      <c r="V4" s="11" t="inlineStr">
        <is>
          <t>*** ALB 10-K Aggregate Annual Production (p.34) FY25: 8 kt Li metal (Albemarle 50% since 18 Oct 2023 MARBL restructure, prior 60%). Up from 6 kt FY24, 7 kt FY23 (post-restart Q2 2022). Hard rock spodumene, Pilbara Australia. [stage normalized "Ore, concentrate"-&gt;"ore" 2026-07-07: mine convention (spodumene concentrate noted in product)] [HS BACKFILL 2026-07-10: 2530.90 - spodumene/lepidolite concentrate; from product_end_use/name evidence, H6+mapping-table verified.]</t>
        </is>
      </c>
      <c r="W4" s="10" t="inlineStr">
        <is>
          <t>capacity of 750,000 dry tonnes of spodumene concentrate per year.</t>
        </is>
      </c>
      <c r="X4" s="2" t="n"/>
      <c r="Y4" s="2" t="n"/>
      <c r="Z4" s="2" t="n"/>
      <c r="AA4"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5" ht="30" customHeight="1" s="74">
      <c r="A5" s="6" t="inlineStr">
        <is>
          <t>Mineral Resources Ltd</t>
        </is>
      </c>
      <c r="B5" s="6" t="inlineStr">
        <is>
          <t>AU</t>
        </is>
      </c>
      <c r="C5" s="11" t="inlineStr">
        <is>
          <t>Wodgina Lithium Mine</t>
        </is>
      </c>
      <c r="D5" s="15" t="inlineStr">
        <is>
          <t>mine</t>
        </is>
      </c>
      <c r="E5" s="6" t="inlineStr">
        <is>
          <t>AU</t>
        </is>
      </c>
      <c r="F5" s="6" t="inlineStr">
        <is>
          <t>Western Australia</t>
        </is>
      </c>
      <c r="G5" s="11" t="n"/>
      <c r="H5" s="15" t="n">
        <v>-21.175888</v>
      </c>
      <c r="I5" s="15" t="n">
        <v>118.676999</v>
      </c>
      <c r="J5" s="8" t="inlineStr">
        <is>
          <t>operating</t>
        </is>
      </c>
      <c r="K5" s="6" t="inlineStr">
        <is>
          <t>Lithium</t>
        </is>
      </c>
      <c r="L5" s="14" t="n">
        <v>750000</v>
      </c>
      <c r="M5" s="15" t="n"/>
      <c r="N5" s="15" t="n">
        <v>8000</v>
      </c>
      <c r="O5" s="15" t="n"/>
      <c r="P5" s="8" t="inlineStr">
        <is>
          <t>TRUE</t>
        </is>
      </c>
      <c r="Q5" s="15" t="inlineStr">
        <is>
          <t>ore</t>
        </is>
      </c>
      <c r="R5" s="11" t="inlineStr">
        <is>
          <t>2530.90</t>
        </is>
      </c>
      <c r="S5" s="8" t="inlineStr">
        <is>
          <t>jv_partner</t>
        </is>
      </c>
      <c r="T5" s="15" t="n">
        <v>0.5</v>
      </c>
      <c r="U5" s="16" t="inlineStr">
        <is>
          <t>https://www.albemarle.com/businesses/lithium/kemerton</t>
        </is>
      </c>
      <c r="V5" s="11" t="inlineStr">
        <is>
          <t>[stage normalized "Ore, concentrate"-&gt;"ore" 2026-07-07: mine convention (spodumene concentrate noted in product)] [HS BACKFILL 2026-07-10: 2530.90 - spodumene/lepidolite concentrate; from product_end_use/name evidence, H6+mapping-table verified.]</t>
        </is>
      </c>
      <c r="W5" s="10" t="inlineStr">
        <is>
          <t>capacity of 750,000 dry tonnes of spodumene concentrate per year.</t>
        </is>
      </c>
      <c r="X5" s="2" t="n"/>
      <c r="Y5" s="2" t="n"/>
      <c r="Z5" s="2" t="n"/>
      <c r="AA5"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6" ht="30" customHeight="1" s="74">
      <c r="A6" s="29" t="inlineStr">
        <is>
          <t>Albemarle Corporation</t>
        </is>
      </c>
      <c r="B6" s="29" t="inlineStr">
        <is>
          <t>US</t>
        </is>
      </c>
      <c r="C6" s="30" t="inlineStr">
        <is>
          <t>Salar de Atacama Brine Operations (Albemarle)</t>
        </is>
      </c>
      <c r="D6" s="29" t="inlineStr">
        <is>
          <t>mine</t>
        </is>
      </c>
      <c r="E6" s="29" t="inlineStr">
        <is>
          <t>CL</t>
        </is>
      </c>
      <c r="F6" s="29" t="inlineStr">
        <is>
          <t>Antofagasta Region</t>
        </is>
      </c>
      <c r="G6" s="29" t="inlineStr">
        <is>
          <t>Antofagasta</t>
        </is>
      </c>
      <c r="H6" s="30" t="n">
        <v>-23.64436</v>
      </c>
      <c r="I6" s="30" t="n">
        <v>-68.32625</v>
      </c>
      <c r="J6" s="29" t="inlineStr">
        <is>
          <t>operating</t>
        </is>
      </c>
      <c r="K6" s="29" t="inlineStr">
        <is>
          <t>Lithium</t>
        </is>
      </c>
      <c r="L6" s="21" t="n">
        <v>85000</v>
      </c>
      <c r="M6" s="30" t="inlineStr">
        <is>
          <t>t/yr</t>
        </is>
      </c>
      <c r="N6" s="30" t="n">
        <v>14000</v>
      </c>
      <c r="O6" s="30" t="inlineStr">
        <is>
          <t>mt/yr</t>
        </is>
      </c>
      <c r="P6" s="29" t="b">
        <v>1</v>
      </c>
      <c r="Q6" s="29" t="inlineStr">
        <is>
          <t>ore</t>
        </is>
      </c>
      <c r="R6" s="29" t="inlineStr">
        <is>
          <t>2530.90</t>
        </is>
      </c>
      <c r="S6" s="29" t="inlineStr">
        <is>
          <t>operator</t>
        </is>
      </c>
      <c r="T6" s="29" t="n">
        <v>1</v>
      </c>
      <c r="U6" s="24" t="inlineStr">
        <is>
          <t>critical-minerals-news.com</t>
        </is>
      </c>
      <c r="V6" s="25" t="inlineStr">
        <is>
          <t>*** ALB 10-K Aggregate Annual Production (p.34) FY25: 14 kt Li metal (Albemarle 100%). Up from 13 kt FY24, 10 kt FY23. Brine operation Chile. Also produces potash (KCl), bischofite, halite, sylvinite as immaterial byproducts. LCE equivalent: ~75 kt LCE. [HS BACKFILL 2026-07-10: 2530.90 - spodumene/lepidolite concentrate; from product_end_use/name evidence, H6+mapping-table verified.] [2026-07-11: facility_name disambiguated — Albemarle and SQM hold SEPARATE concessions on the salar, not a JV; single shared name was merging them into one facility with two 100% operators. capacity_unit DERIVED-fixed 'mt/yr'→'t/yr': 85,000 megatonnes is physically absurd; 85,000 t/yr LCE is consistent with production 14 kt Li metal (~74.5 kt LCE). VERIFY against ALB 10-K.]</t>
        </is>
      </c>
      <c r="W6" s="2" t="n"/>
      <c r="X6" s="2" t="n"/>
      <c r="Y6" s="2" t="n"/>
      <c r="Z6" s="2" t="n"/>
      <c r="AA6"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7" ht="30" customHeight="1" s="74">
      <c r="A7" s="29" t="inlineStr">
        <is>
          <t>Albemarle Corporation</t>
        </is>
      </c>
      <c r="B7" s="29" t="inlineStr">
        <is>
          <t>US</t>
        </is>
      </c>
      <c r="C7" s="30" t="inlineStr">
        <is>
          <t>La Negra Lithium Conversion Plant</t>
        </is>
      </c>
      <c r="D7" s="29" t="inlineStr">
        <is>
          <t>processing</t>
        </is>
      </c>
      <c r="E7" s="29" t="inlineStr">
        <is>
          <t>CL</t>
        </is>
      </c>
      <c r="F7" s="29" t="inlineStr">
        <is>
          <t>Antofagasta Region</t>
        </is>
      </c>
      <c r="G7" s="29" t="inlineStr">
        <is>
          <t>Antofagasta</t>
        </is>
      </c>
      <c r="H7" s="56" t="n">
        <v>-23.379</v>
      </c>
      <c r="I7" s="56" t="n">
        <v>-70.36499999999999</v>
      </c>
      <c r="J7" s="29" t="inlineStr">
        <is>
          <t>operating</t>
        </is>
      </c>
      <c r="K7" s="29" t="inlineStr">
        <is>
          <t>Lithium</t>
        </is>
      </c>
      <c r="L7" s="21" t="n">
        <v>85000</v>
      </c>
      <c r="M7" s="30" t="inlineStr">
        <is>
          <t>mt/yr</t>
        </is>
      </c>
      <c r="N7" s="30" t="n"/>
      <c r="O7" s="30" t="inlineStr">
        <is>
          <t>mt/yr</t>
        </is>
      </c>
      <c r="P7" s="29" t="b">
        <v>1</v>
      </c>
      <c r="Q7" s="29" t="inlineStr">
        <is>
          <t>battery_grade</t>
        </is>
      </c>
      <c r="R7" s="29" t="inlineStr">
        <is>
          <t>2836.91</t>
        </is>
      </c>
      <c r="S7" s="29" t="inlineStr">
        <is>
          <t>operator</t>
        </is>
      </c>
      <c r="T7" s="29" t="n">
        <v>1</v>
      </c>
      <c r="U7" s="24" t="inlineStr">
        <is>
          <t>critical-minerals-news.com</t>
        </is>
      </c>
      <c r="V7" s="27" t="inlineStr">
        <is>
          <t>[Product: Lithium carbonate → HS 2836.91 (HIGH)]  *** ALB 10-K: Lithium carbonate conversion plant (technical + battery-grade). Chile. Per-facility production not disclosed.</t>
        </is>
      </c>
      <c r="W7" s="2" t="n"/>
      <c r="X7" s="2" t="n"/>
      <c r="Y7" s="2" t="n"/>
      <c r="Z7" s="2" t="n"/>
      <c r="AA7"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8" ht="30" customHeight="1" s="74">
      <c r="A8" s="29" t="inlineStr">
        <is>
          <t>Albemarle Corporation</t>
        </is>
      </c>
      <c r="B8" s="29" t="inlineStr">
        <is>
          <t>US</t>
        </is>
      </c>
      <c r="C8" s="30" t="inlineStr">
        <is>
          <t>Silver Peak Lithium Mine</t>
        </is>
      </c>
      <c r="D8" s="29" t="inlineStr">
        <is>
          <t>mine</t>
        </is>
      </c>
      <c r="E8" s="29" t="inlineStr">
        <is>
          <t>US</t>
        </is>
      </c>
      <c r="F8" s="29" t="inlineStr">
        <is>
          <t>NV</t>
        </is>
      </c>
      <c r="G8" s="29" t="inlineStr">
        <is>
          <t>Silver Peak</t>
        </is>
      </c>
      <c r="H8" s="56" t="n">
        <v>37.756</v>
      </c>
      <c r="I8" s="56" t="n">
        <v>-117.635</v>
      </c>
      <c r="J8" s="30" t="inlineStr">
        <is>
          <t>operating</t>
        </is>
      </c>
      <c r="K8" s="29" t="inlineStr">
        <is>
          <t>Lithium</t>
        </is>
      </c>
      <c r="L8" s="21" t="n">
        <v>7500</v>
      </c>
      <c r="M8" s="30" t="inlineStr">
        <is>
          <t>mt/yr</t>
        </is>
      </c>
      <c r="N8" s="30" t="n">
        <v>1000</v>
      </c>
      <c r="O8" s="30" t="inlineStr">
        <is>
          <t>mt/yr</t>
        </is>
      </c>
      <c r="P8" s="29" t="b">
        <v>1</v>
      </c>
      <c r="Q8" s="30" t="inlineStr">
        <is>
          <t>ore</t>
        </is>
      </c>
      <c r="R8" s="29" t="inlineStr">
        <is>
          <t>2530.90</t>
        </is>
      </c>
      <c r="S8" s="29" t="inlineStr">
        <is>
          <t>operator</t>
        </is>
      </c>
      <c r="T8" s="29" t="n">
        <v>1</v>
      </c>
      <c r="U8" s="24" t="inlineStr">
        <is>
          <t>albemarle.com</t>
        </is>
      </c>
      <c r="V8" s="25" t="inlineStr">
        <is>
          <t>*** ALB 10-K Aggregate Annual Production (p.34) FY25: 1 kt Li metal (Albemarle 100%, Nevada USA). Stable at 1 kt annually. Brine operation. Only US brine lithium operation. LCE equivalent: ~5 kt LCE. [HS BACKFILL 2026-07-10: 2530.90 - spodumene/lepidolite concentrate; from product_end_use/name evidence, H6+mapping-table verified.]</t>
        </is>
      </c>
      <c r="W8" s="2" t="n"/>
      <c r="X8" s="2" t="n"/>
      <c r="Y8" s="2" t="n"/>
      <c r="Z8" s="2" t="n"/>
      <c r="AA8"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9" ht="22.5" customHeight="1" s="74">
      <c r="A9" s="29" t="inlineStr">
        <is>
          <t>Albemarle Corporation</t>
        </is>
      </c>
      <c r="B9" s="29" t="inlineStr">
        <is>
          <t>US</t>
        </is>
      </c>
      <c r="C9" s="29" t="inlineStr">
        <is>
          <t>Kings Mountain Lithium Mine</t>
        </is>
      </c>
      <c r="D9" s="29" t="inlineStr">
        <is>
          <t>mine</t>
        </is>
      </c>
      <c r="E9" s="29" t="inlineStr">
        <is>
          <t>US</t>
        </is>
      </c>
      <c r="F9" s="29" t="inlineStr">
        <is>
          <t>NC</t>
        </is>
      </c>
      <c r="G9" s="29" t="inlineStr">
        <is>
          <t>Kings Mountain</t>
        </is>
      </c>
      <c r="H9" s="56" t="n">
        <v>35.2451</v>
      </c>
      <c r="I9" s="56" t="n">
        <v>-81.3515</v>
      </c>
      <c r="J9" s="29" t="inlineStr">
        <is>
          <t>planned</t>
        </is>
      </c>
      <c r="K9" s="29" t="inlineStr">
        <is>
          <t>Lithium</t>
        </is>
      </c>
      <c r="L9" s="21" t="n">
        <v>350000</v>
      </c>
      <c r="M9" s="30" t="inlineStr">
        <is>
          <t>t/yr</t>
        </is>
      </c>
      <c r="N9" s="29" t="n">
        <v>0</v>
      </c>
      <c r="O9" s="30" t="inlineStr">
        <is>
          <t>tonnes Li metal</t>
        </is>
      </c>
      <c r="P9" s="29" t="b">
        <v>1</v>
      </c>
      <c r="Q9" s="29" t="inlineStr">
        <is>
          <t>ore</t>
        </is>
      </c>
      <c r="R9" s="29" t="inlineStr">
        <is>
          <t>2530.90</t>
        </is>
      </c>
      <c r="S9" s="29" t="inlineStr">
        <is>
          <t>operator</t>
        </is>
      </c>
      <c r="T9" s="29" t="n">
        <v>1</v>
      </c>
      <c r="U9" s="24" t="inlineStr">
        <is>
          <t>cnbc.com</t>
        </is>
      </c>
      <c r="V9" s="28" t="inlineStr">
        <is>
          <t>not currently in production  *** ALB 10-K: Exploration stage (p.33). Not yet producing. Albemarle 100%. Hard rock spodumene, North Carolina USA. [HS BACKFILL 2026-07-10: 2530.90 - spodumene/lepidolite concentrate; from product_end_use/name evidence, H6+mapping-table verified.]</t>
        </is>
      </c>
      <c r="W9" s="2" t="n"/>
      <c r="X9" s="2" t="n"/>
      <c r="Y9" s="2" t="n"/>
      <c r="Z9" s="2" t="n"/>
      <c r="AA9"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10" ht="22.5" customHeight="1" s="74">
      <c r="A10" s="29" t="inlineStr">
        <is>
          <t>Albemarle Corporation</t>
        </is>
      </c>
      <c r="B10" s="29" t="inlineStr">
        <is>
          <t>US</t>
        </is>
      </c>
      <c r="C10" s="29" t="inlineStr">
        <is>
          <t>Qinzhou Lithium Processing Facility</t>
        </is>
      </c>
      <c r="D10" s="29" t="inlineStr">
        <is>
          <t>processing</t>
        </is>
      </c>
      <c r="E10" s="29" t="inlineStr">
        <is>
          <t>CN</t>
        </is>
      </c>
      <c r="F10" s="29" t="inlineStr">
        <is>
          <t>Guangxi</t>
        </is>
      </c>
      <c r="G10" s="29" t="inlineStr">
        <is>
          <t>Qinzhou</t>
        </is>
      </c>
      <c r="H10" s="56" t="n">
        <v>21.95</v>
      </c>
      <c r="I10" s="56" t="n">
        <v>108.62</v>
      </c>
      <c r="J10" s="29" t="inlineStr">
        <is>
          <t>operating</t>
        </is>
      </c>
      <c r="K10" s="29" t="inlineStr">
        <is>
          <t>Lithium</t>
        </is>
      </c>
      <c r="L10" s="21" t="n">
        <v>25000</v>
      </c>
      <c r="M10" s="30" t="inlineStr">
        <is>
          <t>t/yr</t>
        </is>
      </c>
      <c r="N10" s="29" t="n"/>
      <c r="O10" s="30" t="inlineStr">
        <is>
          <t>t/yr</t>
        </is>
      </c>
      <c r="P10" s="29" t="b">
        <v>1</v>
      </c>
      <c r="Q10" s="29" t="inlineStr">
        <is>
          <t>refined</t>
        </is>
      </c>
      <c r="R10" s="29" t="inlineStr">
        <is>
          <t>2530.90</t>
        </is>
      </c>
      <c r="S10" s="29" t="inlineStr">
        <is>
          <t>operator</t>
        </is>
      </c>
      <c r="T10" s="29" t="n">
        <v>1</v>
      </c>
      <c r="U10" s="24" t="inlineStr">
        <is>
          <t>albemarle.com</t>
        </is>
      </c>
      <c r="V10" s="25" t="inlineStr">
        <is>
          <t>*** ALB 10-K: Lithium carbonate + hydroxide processing. China. Per-facility production not disclosed. [HS BACKFILL 2026-07-10: 2530.90 - spodumene/lepidolite concentrate; from product_end_use/name evidence, H6+mapping-table verified.]</t>
        </is>
      </c>
      <c r="W10" s="2" t="n"/>
      <c r="X10" s="2" t="n"/>
      <c r="Y10" s="2" t="n"/>
      <c r="Z10" s="2" t="n"/>
      <c r="AA10"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11" ht="22.5" customHeight="1" s="74">
      <c r="A11" s="29" t="inlineStr">
        <is>
          <t>Albemarle Corporation</t>
        </is>
      </c>
      <c r="B11" s="29" t="inlineStr">
        <is>
          <t>US</t>
        </is>
      </c>
      <c r="C11" s="29" t="inlineStr">
        <is>
          <t>Meishan Lithium Processing Facility</t>
        </is>
      </c>
      <c r="D11" s="29" t="inlineStr">
        <is>
          <t>processing</t>
        </is>
      </c>
      <c r="E11" s="29" t="inlineStr">
        <is>
          <t>CN</t>
        </is>
      </c>
      <c r="F11" s="29" t="inlineStr">
        <is>
          <t>Sichuan</t>
        </is>
      </c>
      <c r="G11" s="29" t="inlineStr">
        <is>
          <t>Meishan</t>
        </is>
      </c>
      <c r="H11" s="56" t="n">
        <v>30.075</v>
      </c>
      <c r="I11" s="56" t="n">
        <v>103.85</v>
      </c>
      <c r="J11" s="29" t="inlineStr">
        <is>
          <t>operating</t>
        </is>
      </c>
      <c r="K11" s="29" t="inlineStr">
        <is>
          <t>Lithium</t>
        </is>
      </c>
      <c r="L11" s="21" t="n">
        <v>50000</v>
      </c>
      <c r="M11" s="30" t="inlineStr">
        <is>
          <t>t/yr</t>
        </is>
      </c>
      <c r="N11" s="29" t="n"/>
      <c r="O11" s="30" t="inlineStr">
        <is>
          <t>t/yr</t>
        </is>
      </c>
      <c r="P11" s="29" t="b">
        <v>1</v>
      </c>
      <c r="Q11" s="29" t="inlineStr">
        <is>
          <t>refined</t>
        </is>
      </c>
      <c r="R11" s="29" t="inlineStr">
        <is>
          <t>2530.90</t>
        </is>
      </c>
      <c r="S11" s="29" t="inlineStr">
        <is>
          <t>operator</t>
        </is>
      </c>
      <c r="T11" s="29" t="n">
        <v>1</v>
      </c>
      <c r="U11" s="24" t="inlineStr">
        <is>
          <t>albemarle.com</t>
        </is>
      </c>
      <c r="V11" s="25" t="inlineStr">
        <is>
          <t>*** ALB 10-K: Technical + battery-grade hydroxide. China. Per-facility production not disclosed. [HS BACKFILL 2026-07-10: 2530.90 - spodumene/lepidolite concentrate; from product_end_use/name evidence, H6+mapping-table verified.]</t>
        </is>
      </c>
      <c r="W11" s="2" t="n"/>
      <c r="X11" s="2" t="n"/>
      <c r="Y11" s="2" t="n"/>
      <c r="Z11" s="2" t="n"/>
      <c r="AA11"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12" ht="22.5" customHeight="1" s="74">
      <c r="A12" s="29" t="inlineStr">
        <is>
          <t>Albemarle Corporation</t>
        </is>
      </c>
      <c r="B12" s="29" t="inlineStr">
        <is>
          <t>US</t>
        </is>
      </c>
      <c r="C12" s="29" t="inlineStr">
        <is>
          <t>South Carolina Lithium Refinery</t>
        </is>
      </c>
      <c r="D12" s="29" t="inlineStr">
        <is>
          <t>refinery</t>
        </is>
      </c>
      <c r="E12" s="29" t="inlineStr">
        <is>
          <t>US</t>
        </is>
      </c>
      <c r="F12" s="29" t="inlineStr">
        <is>
          <t>SC</t>
        </is>
      </c>
      <c r="G12" s="29" t="n"/>
      <c r="H12" s="56" t="n">
        <v>33.189</v>
      </c>
      <c r="I12" s="56" t="n">
        <v>-80.02</v>
      </c>
      <c r="J12" s="29" t="inlineStr">
        <is>
          <t>under_construction</t>
        </is>
      </c>
      <c r="K12" s="29" t="inlineStr">
        <is>
          <t>Lithium</t>
        </is>
      </c>
      <c r="L12" s="21" t="n">
        <v>50000</v>
      </c>
      <c r="M12" s="30" t="inlineStr">
        <is>
          <t>mt/yr</t>
        </is>
      </c>
      <c r="N12" s="29" t="n"/>
      <c r="O12" s="29" t="inlineStr">
        <is>
          <t>t/yr</t>
        </is>
      </c>
      <c r="P12" s="29" t="b">
        <v>1</v>
      </c>
      <c r="Q12" s="29" t="inlineStr">
        <is>
          <t>battery_grade</t>
        </is>
      </c>
      <c r="R12" s="29" t="inlineStr">
        <is>
          <t>2825.20</t>
        </is>
      </c>
      <c r="S12" s="29" t="inlineStr">
        <is>
          <t>operator</t>
        </is>
      </c>
      <c r="T12" s="29" t="n">
        <v>1</v>
      </c>
      <c r="U12" s="24" t="inlineStr">
        <is>
          <t>cen.acs.org</t>
        </is>
      </c>
      <c r="V12" s="27" t="inlineStr">
        <is>
          <t>[Product: Lithium hydroxide → HS 2825.20 (HIGH)]  *** ALB 10-K: Battery-grade lithium metal, hydroxide, salts, chloride. USA. Per-facility production not disclosed.</t>
        </is>
      </c>
      <c r="W12" s="2" t="n"/>
      <c r="X12" s="2" t="n"/>
      <c r="Y12" s="2" t="n"/>
      <c r="Z12" s="2" t="n"/>
      <c r="AA12"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13" ht="22.5" customHeight="1" s="74">
      <c r="A13" s="29" t="inlineStr">
        <is>
          <t>Lynas Rare Earths Ltd</t>
        </is>
      </c>
      <c r="B13" s="29" t="inlineStr">
        <is>
          <t>AU</t>
        </is>
      </c>
      <c r="C13" s="29" t="inlineStr">
        <is>
          <t>Mt Weld Rare Earths Mine &amp; Concentration Plant</t>
        </is>
      </c>
      <c r="D13" s="29" t="inlineStr">
        <is>
          <t>mine</t>
        </is>
      </c>
      <c r="E13" s="29" t="inlineStr">
        <is>
          <t>AU</t>
        </is>
      </c>
      <c r="F13" s="29" t="inlineStr">
        <is>
          <t>WA</t>
        </is>
      </c>
      <c r="G13" s="29" t="inlineStr">
        <is>
          <t>Laverton</t>
        </is>
      </c>
      <c r="H13" s="56" t="n">
        <v>-28.8906</v>
      </c>
      <c r="I13" s="56" t="n">
        <v>122.3725</v>
      </c>
      <c r="J13" s="29" t="inlineStr">
        <is>
          <t>operating</t>
        </is>
      </c>
      <c r="K13" s="29" t="inlineStr">
        <is>
          <t>Rare Earth Elements</t>
        </is>
      </c>
      <c r="L13" s="21" t="n">
        <v>12000</v>
      </c>
      <c r="M13" s="30" t="inlineStr">
        <is>
          <t>t/yr</t>
        </is>
      </c>
      <c r="N13" s="29" t="n"/>
      <c r="O13" s="29" t="n"/>
      <c r="P13" s="29" t="b">
        <v>1</v>
      </c>
      <c r="Q13" s="29" t="inlineStr">
        <is>
          <t>concentrate</t>
        </is>
      </c>
      <c r="R13" s="29" t="inlineStr">
        <is>
          <t>2617.90</t>
        </is>
      </c>
      <c r="S13" s="29" t="inlineStr">
        <is>
          <t>operator</t>
        </is>
      </c>
      <c r="T13" s="29" t="n">
        <v>1</v>
      </c>
      <c r="U13" s="24" t="inlineStr">
        <is>
          <t>lynasrareearths.com</t>
        </is>
      </c>
      <c r="V13" s="25" t="inlineStr">
        <is>
          <t>[HS BACKFILL 2026-07-10: 2617.90 - REE ores/concentrates; from product_end_use/name evidence, H6+mapping-table verified.]</t>
        </is>
      </c>
      <c r="W13" s="2" t="n"/>
      <c r="X13" s="2" t="n"/>
      <c r="Y13" s="2" t="n"/>
      <c r="Z13" s="2" t="n"/>
      <c r="AA13" s="0" t="inlineStr">
        <is>
          <t>NdPr -&gt; NdFeB permanent magnets (xEV traction motors, wind, robotics, defense, electronics); Ce/La -&gt; catalysts, phosphors, polishing, glass; SEG/HREE -&gt; magnet additives (Tb/Dy) and SmCo. [Backfilled 2026-07-07: commodity-level end-use, not per-facility disclosure]</t>
        </is>
      </c>
    </row>
    <row r="14" ht="22.5" customHeight="1" s="74">
      <c r="A14" s="29" t="inlineStr">
        <is>
          <t>Lynas Rare Earths Ltd</t>
        </is>
      </c>
      <c r="B14" s="29" t="inlineStr">
        <is>
          <t>AU</t>
        </is>
      </c>
      <c r="C14" s="29" t="inlineStr">
        <is>
          <t>Lynas Advanced Materials Plant (LAMP)</t>
        </is>
      </c>
      <c r="D14" s="29" t="inlineStr">
        <is>
          <t>processing</t>
        </is>
      </c>
      <c r="E14" s="29" t="inlineStr">
        <is>
          <t>MY</t>
        </is>
      </c>
      <c r="F14" s="29" t="inlineStr">
        <is>
          <t>Pahang</t>
        </is>
      </c>
      <c r="G14" s="29" t="inlineStr">
        <is>
          <t>Kuantan</t>
        </is>
      </c>
      <c r="H14" s="56" t="n">
        <v>3.9806</v>
      </c>
      <c r="I14" s="56" t="n">
        <v>103.3647</v>
      </c>
      <c r="J14" s="30" t="inlineStr">
        <is>
          <t>operating</t>
        </is>
      </c>
      <c r="K14" s="29" t="inlineStr">
        <is>
          <t>Rare Earth Elements</t>
        </is>
      </c>
      <c r="L14" s="21" t="n">
        <v>22000</v>
      </c>
      <c r="M14" s="30" t="inlineStr">
        <is>
          <t>t/yr</t>
        </is>
      </c>
      <c r="N14" s="29" t="n"/>
      <c r="O14" s="30" t="n"/>
      <c r="P14" s="29" t="b">
        <v>1</v>
      </c>
      <c r="Q14" s="29" t="inlineStr">
        <is>
          <t>refined</t>
        </is>
      </c>
      <c r="R14" s="29" t="inlineStr">
        <is>
          <t>2846.90</t>
        </is>
      </c>
      <c r="S14" s="29" t="inlineStr">
        <is>
          <t>operator</t>
        </is>
      </c>
      <c r="T14" s="29" t="n">
        <v>1</v>
      </c>
      <c r="U14" s="24" t="inlineStr">
        <is>
          <t>lynasrareearths.com</t>
        </is>
      </c>
      <c r="V14" s="27" t="inlineStr">
        <is>
          <t xml:space="preserve">[Product: Rare earth oxides → HS 2846.90 (HIGH)] </t>
        </is>
      </c>
      <c r="W14" s="2" t="n"/>
      <c r="X14" s="2" t="n"/>
      <c r="Y14" s="2" t="n"/>
      <c r="Z14" s="2" t="n"/>
      <c r="AA14" s="0" t="inlineStr">
        <is>
          <t>NdPr -&gt; NdFeB permanent magnets (xEV traction motors, wind, robotics, defense, electronics); Ce/La -&gt; catalysts, phosphors, polishing, glass; SEG/HREE -&gt; magnet additives (Tb/Dy) and SmCo. [Backfilled 2026-07-07: commodity-level end-use, not per-facility disclosure]</t>
        </is>
      </c>
    </row>
    <row r="15" ht="22.5" customHeight="1" s="74">
      <c r="A15" s="29" t="inlineStr">
        <is>
          <t>Lynas Rare Earths Ltd</t>
        </is>
      </c>
      <c r="B15" s="29" t="inlineStr">
        <is>
          <t>AU</t>
        </is>
      </c>
      <c r="C15" s="29" t="inlineStr">
        <is>
          <t>Kalgoorlie Rare Earths Processing Facility</t>
        </is>
      </c>
      <c r="D15" s="29" t="inlineStr">
        <is>
          <t>processing</t>
        </is>
      </c>
      <c r="E15" s="29" t="inlineStr">
        <is>
          <t>AU</t>
        </is>
      </c>
      <c r="F15" s="29" t="inlineStr">
        <is>
          <t>WA</t>
        </is>
      </c>
      <c r="G15" s="29" t="inlineStr">
        <is>
          <t>Kalgoorlie</t>
        </is>
      </c>
      <c r="H15" s="56" t="n">
        <v>-30.777</v>
      </c>
      <c r="I15" s="56" t="n">
        <v>121.453</v>
      </c>
      <c r="J15" s="29" t="inlineStr">
        <is>
          <t>operating</t>
        </is>
      </c>
      <c r="K15" s="29" t="inlineStr">
        <is>
          <t>Rare Earth Elements</t>
        </is>
      </c>
      <c r="L15" s="21" t="n">
        <v>68000</v>
      </c>
      <c r="M15" s="30" t="inlineStr">
        <is>
          <t>t/yr</t>
        </is>
      </c>
      <c r="N15" s="29" t="n"/>
      <c r="O15" s="29" t="n"/>
      <c r="P15" s="29" t="b">
        <v>1</v>
      </c>
      <c r="Q15" s="29" t="inlineStr">
        <is>
          <t>intermediate</t>
        </is>
      </c>
      <c r="R15" s="29" t="inlineStr">
        <is>
          <t>2846.90</t>
        </is>
      </c>
      <c r="S15" s="29" t="inlineStr">
        <is>
          <t>operator</t>
        </is>
      </c>
      <c r="T15" s="29" t="n">
        <v>1</v>
      </c>
      <c r="U15" s="24" t="inlineStr">
        <is>
          <t>lynasrareearths.com</t>
        </is>
      </c>
      <c r="V15" s="27" t="inlineStr">
        <is>
          <t xml:space="preserve">[Product: Rare earth carbonate → HS 2846.90 (HIGH)] </t>
        </is>
      </c>
      <c r="W15" s="2" t="n"/>
      <c r="X15" s="2" t="n"/>
      <c r="Y15" s="2" t="n"/>
      <c r="Z15" s="2" t="n"/>
      <c r="AA15" s="0" t="inlineStr">
        <is>
          <t>NdPr -&gt; NdFeB permanent magnets (xEV traction motors, wind, robotics, defense, electronics); Ce/La -&gt; catalysts, phosphors, polishing, glass; SEG/HREE -&gt; magnet additives (Tb/Dy) and SmCo. [Backfilled 2026-07-07: commodity-level end-use, not per-facility disclosure]</t>
        </is>
      </c>
    </row>
    <row r="16" ht="22.5" customHeight="1" s="74">
      <c r="A16" s="29" t="inlineStr">
        <is>
          <t>Lynas Rare Earths Ltd</t>
        </is>
      </c>
      <c r="B16" s="29" t="inlineStr">
        <is>
          <t>AU</t>
        </is>
      </c>
      <c r="C16" s="29" t="inlineStr">
        <is>
          <t>Heavy Rare Earths Facility (Malaysia Expansion)</t>
        </is>
      </c>
      <c r="D16" s="29" t="inlineStr">
        <is>
          <t>processing</t>
        </is>
      </c>
      <c r="E16" s="29" t="inlineStr">
        <is>
          <t>MY</t>
        </is>
      </c>
      <c r="F16" s="29" t="inlineStr">
        <is>
          <t>Pahang</t>
        </is>
      </c>
      <c r="G16" s="29" t="inlineStr">
        <is>
          <t>Kuantan</t>
        </is>
      </c>
      <c r="H16" s="56" t="n">
        <v>3.9806</v>
      </c>
      <c r="I16" s="56" t="n">
        <v>103.3647</v>
      </c>
      <c r="J16" s="29" t="inlineStr">
        <is>
          <t>under_construction</t>
        </is>
      </c>
      <c r="K16" s="29" t="inlineStr">
        <is>
          <t>Rare Earth Elements</t>
        </is>
      </c>
      <c r="L16" s="21" t="n">
        <v>5000</v>
      </c>
      <c r="M16" s="30" t="inlineStr">
        <is>
          <t>t/yr</t>
        </is>
      </c>
      <c r="N16" s="29" t="n"/>
      <c r="O16" s="29" t="n"/>
      <c r="P16" s="29" t="b">
        <v>1</v>
      </c>
      <c r="Q16" s="29" t="inlineStr">
        <is>
          <t>refined</t>
        </is>
      </c>
      <c r="R16" s="29" t="inlineStr">
        <is>
          <t>2846.90</t>
        </is>
      </c>
      <c r="S16" s="29" t="inlineStr">
        <is>
          <t>operator</t>
        </is>
      </c>
      <c r="T16" s="29" t="n">
        <v>1</v>
      </c>
      <c r="U16" s="24" t="inlineStr">
        <is>
          <t>rareearthexchanges.com</t>
        </is>
      </c>
      <c r="V16" s="27" t="inlineStr">
        <is>
          <t xml:space="preserve">[Product: Heavy rare earths → HS 2846.90 (HIGH)] </t>
        </is>
      </c>
      <c r="W16" s="2" t="n"/>
      <c r="X16" s="2" t="n"/>
      <c r="Y16" s="2" t="n"/>
      <c r="Z16" s="2" t="n"/>
      <c r="AA16" s="0" t="inlineStr">
        <is>
          <t>NdPr -&gt; NdFeB permanent magnets (xEV traction motors, wind, robotics, defense, electronics); Ce/La -&gt; catalysts, phosphors, polishing, glass; SEG/HREE -&gt; magnet additives (Tb/Dy) and SmCo. [Backfilled 2026-07-07: commodity-level end-use, not per-facility disclosure]</t>
        </is>
      </c>
    </row>
    <row r="17" ht="22.5" customHeight="1" s="74">
      <c r="A17" s="29" t="inlineStr">
        <is>
          <t>Lynas Rare Earths Ltd</t>
        </is>
      </c>
      <c r="B17" s="29" t="inlineStr">
        <is>
          <t>AU</t>
        </is>
      </c>
      <c r="C17" s="29" t="inlineStr">
        <is>
          <t>Seadrift Rare Earths Processing Facility</t>
        </is>
      </c>
      <c r="D17" s="29" t="inlineStr">
        <is>
          <t>processing</t>
        </is>
      </c>
      <c r="E17" s="29" t="inlineStr">
        <is>
          <t>US</t>
        </is>
      </c>
      <c r="F17" s="29" t="inlineStr">
        <is>
          <t>TX</t>
        </is>
      </c>
      <c r="G17" s="29" t="inlineStr">
        <is>
          <t>Seadrift</t>
        </is>
      </c>
      <c r="H17" s="56" t="n">
        <v>28.4419</v>
      </c>
      <c r="I17" s="56" t="n">
        <v>-96.7139</v>
      </c>
      <c r="J17" s="29" t="inlineStr">
        <is>
          <t>planned</t>
        </is>
      </c>
      <c r="K17" s="29" t="inlineStr">
        <is>
          <t>Rare Earth Elements</t>
        </is>
      </c>
      <c r="L17" s="29" t="n"/>
      <c r="M17" s="29" t="n"/>
      <c r="N17" s="29" t="n"/>
      <c r="O17" s="29" t="n"/>
      <c r="P17" s="29" t="b">
        <v>1</v>
      </c>
      <c r="Q17" s="29" t="inlineStr">
        <is>
          <t>refined</t>
        </is>
      </c>
      <c r="R17" s="29" t="inlineStr">
        <is>
          <t>2846.90</t>
        </is>
      </c>
      <c r="S17" s="29" t="inlineStr">
        <is>
          <t>operator</t>
        </is>
      </c>
      <c r="T17" s="29" t="n">
        <v>1</v>
      </c>
      <c r="U17" s="24" t="inlineStr">
        <is>
          <t>lynasrareearths.com</t>
        </is>
      </c>
      <c r="V17" s="27" t="inlineStr">
        <is>
          <t xml:space="preserve">[Product: Rare earth oxides → HS 2846.90 (HIGH)] </t>
        </is>
      </c>
      <c r="W17" s="2" t="n"/>
      <c r="X17" s="2" t="n"/>
      <c r="Y17" s="2" t="n"/>
      <c r="Z17" s="2" t="n"/>
      <c r="AA17" s="0" t="inlineStr">
        <is>
          <t>NdPr -&gt; NdFeB permanent magnets (xEV traction motors, wind, robotics, defense, electronics); Ce/La -&gt; catalysts, phosphors, polishing, glass; SEG/HREE -&gt; magnet additives (Tb/Dy) and SmCo. [Backfilled 2026-07-07: commodity-level end-use, not per-facility disclosure]</t>
        </is>
      </c>
    </row>
    <row r="18" ht="15.75" customHeight="1" s="74">
      <c r="A18" s="56" t="inlineStr">
        <is>
          <t>MP Materials Corp.</t>
        </is>
      </c>
      <c r="B18" s="56" t="inlineStr">
        <is>
          <t>US</t>
        </is>
      </c>
      <c r="C18" s="56" t="inlineStr">
        <is>
          <t>Mountain Pass Rare Earth Mine</t>
        </is>
      </c>
      <c r="D18" s="56" t="inlineStr">
        <is>
          <t>mine</t>
        </is>
      </c>
      <c r="E18" s="56" t="inlineStr">
        <is>
          <t>US</t>
        </is>
      </c>
      <c r="F18" s="56" t="inlineStr">
        <is>
          <t>CA</t>
        </is>
      </c>
      <c r="G18" s="56" t="inlineStr">
        <is>
          <t>Mountain Pass</t>
        </is>
      </c>
      <c r="H18" s="56" t="n">
        <v>35.48</v>
      </c>
      <c r="I18" s="56" t="n">
        <v>-115.53</v>
      </c>
      <c r="J18" s="56" t="inlineStr">
        <is>
          <t>operating</t>
        </is>
      </c>
      <c r="K18" s="56" t="inlineStr">
        <is>
          <t>Rare Earth Elements</t>
        </is>
      </c>
      <c r="L18" s="56" t="n">
        <v>60000</v>
      </c>
      <c r="M18" s="56" t="inlineStr">
        <is>
          <t>t/yr</t>
        </is>
      </c>
      <c r="N18" s="56" t="n">
        <v>50692</v>
      </c>
      <c r="O18" s="56" t="inlineStr">
        <is>
          <t>mt REO in concentrate/yr (FY2025)</t>
        </is>
      </c>
      <c r="P18" s="56" t="b">
        <v>1</v>
      </c>
      <c r="Q18" s="56" t="inlineStr">
        <is>
          <t>ore</t>
        </is>
      </c>
      <c r="R18" s="56" t="inlineStr">
        <is>
          <t>2617.90</t>
        </is>
      </c>
      <c r="S18" s="56" t="inlineStr">
        <is>
          <t>operator</t>
        </is>
      </c>
      <c r="T18" s="56" t="n">
        <v>1</v>
      </c>
      <c r="U18" s="34" t="inlineStr">
        <is>
          <t>https://www.sec.gov/Archives/edgar/data/1801368/000180136826000008/mp-20251231.htm</t>
        </is>
      </c>
      <c r="V18" s="56" t="inlineStr">
        <is>
          <t>[FY2025 10-K] P+P reserves 28.96M short tons @ 5.89% TREO (SRK, S-K 1300, TRS eff. 2025-10-01); ~28-yr mine life (mining to Q3 2047, stockpile processing to Q1 2053); strip ratio 5.8:1. REO production 50,692 MT FY2025 (record, +12%). Ore sorting facility install 2026, full design capacity Q1 2027. Mined since 1952 (Molybdenum Corp); restarted by MP Jul 2017. Permits run to 2042, extension to 2053 expected. 2,232 fee acres + 1,020 unpatented claims. [TRS Ex 96.1, Feb 2026]: after-tax NPV6% $5.8B; LoM revenue $21.7B; LoM opex $5.49B ($230.44/st); sustaining capex $771.5M; closure 2054. RISK FLAGS: full reserve extraction requires modification of current permitted boundaries (permits to 2042); pit waste-stripping encroaches adjacent mineral concession - prior-owner agreement NOT yet replaced. 1998 LRWQCB cleanup order: ~30 yrs groundwater remediation ($40.3M undiscounted); financial assurances $46.3M (surety bonds). FY2025 MSHA: 8 S&amp;S citations, $43,530 assessments, 0 fatalities, no 104(e). Mineral rights held via SNR subsidiary, leased to operator MPMO. [capacity detail: mt REO/yr (Upstream 60K target, announced Nov 2023)] [HS BACKFILL 2026-07-10: 2617.90 - REE ores/concentrates; from product_end_use/name evidence, H6+mapping-table verified.]</t>
        </is>
      </c>
      <c r="W18" s="2" t="n">
        <v>1952</v>
      </c>
      <c r="X18" s="2" t="n"/>
      <c r="Y18" s="2" t="n"/>
      <c r="Z18" s="2" t="n">
        <v>2053</v>
      </c>
      <c r="AA18" s="0" t="inlineStr">
        <is>
          <t>NdPr -&gt; NdFeB permanent magnets for xEV traction motors, robotics/physical-AI actuators, wind generators, drones, defense systems, consumer electronics (per MP 10-K Item 1 end markets). Ce/La (82.5% of TREO volume) -&gt; catalysts (vehicle emissions, fuel refining), phosphors, glass/polishing. SEG+ -&gt; HREE feed (Tb/Dy for magnet grain-boundary diffusion; Sm for SmCo defense magnets from 2026+).</t>
        </is>
      </c>
    </row>
    <row r="19" ht="15.75" customHeight="1" s="74">
      <c r="A19" s="56" t="inlineStr">
        <is>
          <t>MP Materials Corp.</t>
        </is>
      </c>
      <c r="B19" s="56" t="inlineStr">
        <is>
          <t>US</t>
        </is>
      </c>
      <c r="C19" s="56" t="inlineStr">
        <is>
          <t>Mountain Pass Processing &amp; Separation Facility</t>
        </is>
      </c>
      <c r="D19" s="56" t="inlineStr">
        <is>
          <t>processing</t>
        </is>
      </c>
      <c r="E19" s="56" t="inlineStr">
        <is>
          <t>US</t>
        </is>
      </c>
      <c r="F19" s="56" t="inlineStr">
        <is>
          <t>CA</t>
        </is>
      </c>
      <c r="G19" s="56" t="inlineStr">
        <is>
          <t>Mountain Pass</t>
        </is>
      </c>
      <c r="H19" s="56" t="n">
        <v>35.48</v>
      </c>
      <c r="I19" s="56" t="n">
        <v>-115.53</v>
      </c>
      <c r="J19" s="56" t="inlineStr">
        <is>
          <t>operating</t>
        </is>
      </c>
      <c r="K19" s="56" t="inlineStr">
        <is>
          <t>Rare Earth Elements</t>
        </is>
      </c>
      <c r="L19" s="56" t="n">
        <v>20000</v>
      </c>
      <c r="M19" s="56" t="inlineStr">
        <is>
          <t>t/yr</t>
        </is>
      </c>
      <c r="N19" s="56" t="n">
        <v>2599</v>
      </c>
      <c r="O19" s="56" t="inlineStr">
        <is>
          <t>mt NdPr oxide/yr (FY2025)</t>
        </is>
      </c>
      <c r="P19" s="56" t="b">
        <v>1</v>
      </c>
      <c r="Q19" s="56" t="inlineStr">
        <is>
          <t>refined</t>
        </is>
      </c>
      <c r="R19" s="56" t="inlineStr">
        <is>
          <t>2846.90</t>
        </is>
      </c>
      <c r="S19" s="56" t="inlineStr">
        <is>
          <t>operator</t>
        </is>
      </c>
      <c r="T19" s="56" t="n">
        <v>1</v>
      </c>
      <c r="U19" s="34" t="inlineStr">
        <is>
          <t>https://www.sec.gov/Archives/edgar/data/1801368/000180136826000008/mp-20251231.htm</t>
        </is>
      </c>
      <c r="V19" s="56" t="inlineStr">
        <is>
          <t>[Product: Rare earth oxides -&gt; HS 2846.90 (HIGH)] [FY2025 10-K] NdPr oxide production 2,599 MT FY2025 (+101% yoy); also cerium/lanthanum products + SEG+ mixed HREE. CORRECTION 2026-07-07: prior row carried 50,692 MT here — that is upstream REO-in-concentrate, moved to mine row. HREE Facility (Tb/Dy, DoW-funded 2022 award) commissioning expected 2026; samarium oxide extension committed under DoW deal ($150M Samarium Project Loan, Aug 2025). Idle chlor-alkali plant to be recommissioned (DoW commitment). Apple magnet-scrap recycling line under construction. Began intersegment NdPr oxide supply to Magnetics Q4 2025. Design run-rate ~20,000 MT separated REO/yr incl. ~6,075 MT NdPr oxide (Item 1A); full design capacity expected ~Q1 2027 (TRS). CA cap-and-trade participant (CHP emissions above threshold; allowance purchases to grow with ramp). [capacity detail: mt separated REO/yr (design run-rate, incl. ~6,075 mt NdPr oxide)]</t>
        </is>
      </c>
      <c r="W19" s="2" t="n"/>
      <c r="X19" s="2" t="n"/>
      <c r="Y19" s="2" t="n"/>
      <c r="Z19" s="2" t="n"/>
      <c r="AA19" s="0" t="inlineStr">
        <is>
          <t>NdPr -&gt; NdFeB permanent magnets for xEV traction motors, robotics/physical-AI actuators, wind generators, drones, defense systems, consumer electronics (per MP 10-K Item 1 end markets). Ce/La (82.5% of TREO volume) -&gt; catalysts (vehicle emissions, fuel refining), phosphors, glass/polishing. SEG+ -&gt; HREE feed (Tb/Dy for magnet grain-boundary diffusion; Sm for SmCo defense magnets from 2026+).</t>
        </is>
      </c>
    </row>
    <row r="20" ht="15.75" customHeight="1" s="74">
      <c r="A20" s="56" t="inlineStr">
        <is>
          <t>MP Materials Corp.</t>
        </is>
      </c>
      <c r="B20" s="56" t="inlineStr">
        <is>
          <t>US</t>
        </is>
      </c>
      <c r="C20" s="56" t="inlineStr">
        <is>
          <t>Independence Magnetics Facility</t>
        </is>
      </c>
      <c r="D20" s="56" t="inlineStr">
        <is>
          <t>fabrication</t>
        </is>
      </c>
      <c r="E20" s="56" t="inlineStr">
        <is>
          <t>US</t>
        </is>
      </c>
      <c r="F20" s="56" t="inlineStr">
        <is>
          <t>TX</t>
        </is>
      </c>
      <c r="G20" s="56" t="inlineStr">
        <is>
          <t>Fort Worth</t>
        </is>
      </c>
      <c r="H20" s="56" t="n">
        <v>32.99</v>
      </c>
      <c r="I20" s="56" t="n">
        <v>-97.23</v>
      </c>
      <c r="J20" s="56" t="inlineStr">
        <is>
          <t>operating</t>
        </is>
      </c>
      <c r="K20" s="56" t="inlineStr">
        <is>
          <t>Neodymium</t>
        </is>
      </c>
      <c r="L20" s="35" t="n">
        <v>3000</v>
      </c>
      <c r="M20" s="56" t="inlineStr">
        <is>
          <t>t/yr</t>
        </is>
      </c>
      <c r="N20" s="56" t="n"/>
      <c r="O20" s="56" t="n"/>
      <c r="P20" s="56" t="b">
        <v>1</v>
      </c>
      <c r="Q20" s="56" t="inlineStr">
        <is>
          <t>fabricated</t>
        </is>
      </c>
      <c r="R20" s="56" t="inlineStr">
        <is>
          <t>8505.11</t>
        </is>
      </c>
      <c r="S20" s="56" t="inlineStr">
        <is>
          <t>operator</t>
        </is>
      </c>
      <c r="T20" s="56" t="n">
        <v>1</v>
      </c>
      <c r="U20" s="34" t="inlineStr">
        <is>
          <t>https://www.sec.gov/Archives/edgar/data/1801368/000180136826000008/mp-20251231.htm</t>
        </is>
      </c>
      <c r="V20" s="56" t="inlineStr">
        <is>
          <t>[Product: NdFeB magnets -&gt; HS 8505.11 (HIGH)] [FY2025 10-K] NdFeB permanent magnet manufacturing COMMENCED Dec 2025. Magnet/precursor output tonnage not disclosed FY2025 (revenue $66.9M precursor to GM, bill-and-hold) — production left blank, prior 2,599 value was Mountain Pass NdPr oxide (moved). Capacity: expansion to projected 3,000 mt/yr committed under DoW deal (prior nameplate ~1,000 mt/yr). Electrowinning commissioned 2024; strip casting 2025. Customers: GM (foundational, Apr 2022), Apple (Jul 2025, $200M prepayments). ~18 acres; &gt;180 magnetics staff. [capacity detail: mt NdFeB magnets/yr (projected expansion; DoW commitment)]</t>
        </is>
      </c>
      <c r="W20" s="2" t="n"/>
      <c r="X20" s="2" t="n"/>
      <c r="Y20" s="2" t="n"/>
      <c r="Z20" s="2" t="n"/>
      <c r="AA20" s="0" t="inlineStr">
        <is>
          <t>Sintered NdFeB permanent magnets + precursors (NdPr metal, alloy flake): xEV traction motors (GM foundational customer), consumer electronics (Apple), robotics/physical AI, critical defense systems (guidance, radar, drones). [MP 10-K Item 1]</t>
        </is>
      </c>
    </row>
    <row r="21" ht="15.75" customHeight="1" s="74">
      <c r="A21" s="56" t="inlineStr">
        <is>
          <t>MP Materials Corp.</t>
        </is>
      </c>
      <c r="B21" s="56" t="inlineStr">
        <is>
          <t>US</t>
        </is>
      </c>
      <c r="C21" s="56" t="inlineStr">
        <is>
          <t>10X Magnet Manufacturing Campus</t>
        </is>
      </c>
      <c r="D21" s="56" t="inlineStr">
        <is>
          <t>pack_plant</t>
        </is>
      </c>
      <c r="E21" s="56" t="inlineStr">
        <is>
          <t>US</t>
        </is>
      </c>
      <c r="F21" s="56" t="inlineStr">
        <is>
          <t>TX</t>
        </is>
      </c>
      <c r="G21" s="56" t="inlineStr">
        <is>
          <t>Northlake</t>
        </is>
      </c>
      <c r="H21" s="56" t="n">
        <v>32.99</v>
      </c>
      <c r="I21" s="56" t="n">
        <v>-97.23</v>
      </c>
      <c r="J21" s="56" t="inlineStr">
        <is>
          <t>under_construction</t>
        </is>
      </c>
      <c r="K21" s="56" t="inlineStr">
        <is>
          <t>Neodymium</t>
        </is>
      </c>
      <c r="L21" s="56" t="n">
        <v>7000</v>
      </c>
      <c r="M21" s="56" t="inlineStr">
        <is>
          <t>t/yr</t>
        </is>
      </c>
      <c r="N21" s="56" t="n">
        <v>0</v>
      </c>
      <c r="O21" s="56" t="n"/>
      <c r="P21" s="56" t="b">
        <v>1</v>
      </c>
      <c r="Q21" s="56" t="inlineStr">
        <is>
          <t>fabricated</t>
        </is>
      </c>
      <c r="R21" s="56" t="inlineStr">
        <is>
          <t>8505.11</t>
        </is>
      </c>
      <c r="S21" s="56" t="inlineStr">
        <is>
          <t>operator</t>
        </is>
      </c>
      <c r="T21" s="56" t="n">
        <v>1</v>
      </c>
      <c r="U21" s="34" t="inlineStr">
        <is>
          <t>https://www.sec.gov/Archives/edgar/data/1801368/000180136826000008/mp-20251231.htm</t>
        </is>
      </c>
      <c r="V21" s="56" t="inlineStr">
        <is>
          <t>[Product: NdFeB magnets -&gt; HS 8505.11 (HIGH)] [FY2025 10-K] Second US magnet plant under DoW partnership; commissioning expected 2028; ~7,000 mt/yr at scale (total MP capacity ~10,000 mt/yr with Independence). DoW offtake: 100% of output, cost + guaranteed $140M EBITDA (+2%/yr), 10-yr term from Commercial Operation Date; commercial syndication permitted. Entity: MP 10X Development LLC. CAUTION: 10-K does NOT state location; Northlake TX from prior source — verify. [capacity detail: mt NdFeB magnets/yr (estimated at full scale)]</t>
        </is>
      </c>
      <c r="W21" s="2" t="n"/>
      <c r="X21" s="2" t="n"/>
      <c r="Y21" s="2" t="n"/>
      <c r="Z21" s="2" t="n"/>
      <c r="AA21" s="0" t="inlineStr">
        <is>
          <t>Sintered NdFeB permanent magnets + precursors (NdPr metal, alloy flake): xEV traction motors (GM foundational customer), consumer electronics (Apple), robotics/physical AI, critical defense systems (guidance, radar, drones). [MP 10-K Item 1] 10X output 100% DoW offtake (defense) unless commercially syndicated.</t>
        </is>
      </c>
    </row>
    <row r="22" ht="15.75" customHeight="1" s="74">
      <c r="A22" s="56" t="inlineStr">
        <is>
          <t>Ganfeng Lithium Co., Ltd.</t>
        </is>
      </c>
      <c r="B22" s="56" t="inlineStr">
        <is>
          <t>CN</t>
        </is>
      </c>
      <c r="C22" s="56" t="inlineStr">
        <is>
          <t>Xinyu Lithium Salt Base (10,000-ton Lithium Salt) - carbonate/chloride lines</t>
        </is>
      </c>
      <c r="D22" s="56" t="inlineStr">
        <is>
          <t>processing</t>
        </is>
      </c>
      <c r="E22" s="56" t="inlineStr">
        <is>
          <t>CN</t>
        </is>
      </c>
      <c r="F22" s="56" t="inlineStr">
        <is>
          <t>Jiangxi</t>
        </is>
      </c>
      <c r="G22" s="56" t="inlineStr">
        <is>
          <t>Xinyu</t>
        </is>
      </c>
      <c r="H22" s="56" t="n">
        <v>27.81</v>
      </c>
      <c r="I22" s="56" t="n">
        <v>114.92</v>
      </c>
      <c r="J22" s="56" t="inlineStr">
        <is>
          <t>operating</t>
        </is>
      </c>
      <c r="K22" s="56" t="inlineStr">
        <is>
          <t>Lithium</t>
        </is>
      </c>
      <c r="L22" s="56" t="n">
        <v>15000</v>
      </c>
      <c r="M22" s="56" t="inlineStr">
        <is>
          <t>t/yr</t>
        </is>
      </c>
      <c r="N22" s="56" t="n">
        <v>20000</v>
      </c>
      <c r="O22" s="56" t="inlineStr">
        <is>
          <t>mt/yr</t>
        </is>
      </c>
      <c r="P22" s="56" t="b">
        <v>1</v>
      </c>
      <c r="Q22" s="56" t="inlineStr">
        <is>
          <t>battery_grade</t>
        </is>
      </c>
      <c r="R22" s="56" t="inlineStr">
        <is>
          <t>2836.91</t>
        </is>
      </c>
      <c r="S22" s="56" t="inlineStr">
        <is>
          <t>operator</t>
        </is>
      </c>
      <c r="T22" s="56" t="n">
        <v>1</v>
      </c>
      <c r="U22" s="34" t="inlineStr">
        <is>
          <t>https://www1.hkexnews.hk/listedco/listconews/sehk/2026/0430/2026043002396.pdf</t>
        </is>
      </c>
      <c r="V22" s="56" t="inlineStr">
        <is>
          <t>[Product: Lithium carbonate → HS 2836.91 (HIGH)]  [GFL AR 2025 (HKEX, filed 2026-04-30) 2026-07-09] Capacity RESTATED from AR designed-capacity table (was 20,000 conflated w/ Ningdu): Xinyu base = LiOH 81kt (row 25) + Li2CO3 15kt + LiCl 12kt + butyl-Li 2kt. Operating since 2014. [capacity detail: t Li2CO3/yr designed (+ 12,000t LiCl + 2,000t butyllithium at same base)]</t>
        </is>
      </c>
      <c r="W22" s="2" t="n"/>
      <c r="X22" s="2" t="n"/>
      <c r="Y22" s="2" t="n"/>
      <c r="Z22" s="2" t="n"/>
      <c r="AA22"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3" ht="15.75" customHeight="1" s="74">
      <c r="A23" s="56" t="inlineStr">
        <is>
          <t>Ganfeng Lithium Co., Ltd.</t>
        </is>
      </c>
      <c r="B23" s="56" t="inlineStr">
        <is>
          <t>CN</t>
        </is>
      </c>
      <c r="C23" s="56" t="inlineStr">
        <is>
          <t>Xinyu Lithium Salt Base (10,000-ton Lithium Salt) - hydroxide lines</t>
        </is>
      </c>
      <c r="D23" s="56" t="inlineStr">
        <is>
          <t>processing</t>
        </is>
      </c>
      <c r="E23" s="56" t="inlineStr">
        <is>
          <t>CN</t>
        </is>
      </c>
      <c r="F23" s="56" t="inlineStr">
        <is>
          <t>Jiangxi</t>
        </is>
      </c>
      <c r="G23" s="56" t="inlineStr">
        <is>
          <t>Xinyu</t>
        </is>
      </c>
      <c r="H23" s="56" t="n">
        <v>27.81</v>
      </c>
      <c r="I23" s="56" t="n">
        <v>114.92</v>
      </c>
      <c r="J23" s="56" t="inlineStr">
        <is>
          <t>operating</t>
        </is>
      </c>
      <c r="K23" s="56" t="inlineStr">
        <is>
          <t>Lithium</t>
        </is>
      </c>
      <c r="L23" s="56" t="n"/>
      <c r="M23" s="56" t="n"/>
      <c r="N23" s="56" t="n">
        <v>81000</v>
      </c>
      <c r="O23" s="56" t="inlineStr">
        <is>
          <t>mt/yr</t>
        </is>
      </c>
      <c r="P23" s="56" t="b">
        <v>1</v>
      </c>
      <c r="Q23" s="56" t="inlineStr">
        <is>
          <t>battery_grade</t>
        </is>
      </c>
      <c r="R23" s="56" t="inlineStr">
        <is>
          <t>2825.20</t>
        </is>
      </c>
      <c r="S23" s="56" t="inlineStr">
        <is>
          <t>operator</t>
        </is>
      </c>
      <c r="T23" s="56" t="n">
        <v>1</v>
      </c>
      <c r="U23" s="34" t="inlineStr">
        <is>
          <t>https://www1.hkexnews.hk/listedco/listconews/sehk/2026/0430/2026043002396.pdf</t>
        </is>
      </c>
      <c r="V23" s="56" t="inlineStr">
        <is>
          <t>[Product: Lithium hydroxide → HS 2825.20 (HIGH)]  [GFL AR 2025 (HKEX, filed 2026-04-30) 2026-07-09] LiOH 81,000 t/yr designed CONFIRMED by AR capacity table. Mahong factory lithium-recovery/cost improvements FY25; record lithium compound shipments group-wide FY25.</t>
        </is>
      </c>
      <c r="W23" s="2" t="n"/>
      <c r="X23" s="2" t="n"/>
      <c r="Y23" s="2" t="n"/>
      <c r="Z23" s="2" t="n"/>
      <c r="AA23"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4" ht="15.75" customHeight="1" s="74">
      <c r="A24" s="56" t="inlineStr">
        <is>
          <t>Ganfeng Lithium Co., Ltd.</t>
        </is>
      </c>
      <c r="B24" s="56" t="inlineStr">
        <is>
          <t>CN</t>
        </is>
      </c>
      <c r="C24" s="56" t="inlineStr">
        <is>
          <t>Mount Marion Lithium Mine</t>
        </is>
      </c>
      <c r="D24" s="56" t="inlineStr">
        <is>
          <t>mine</t>
        </is>
      </c>
      <c r="E24" s="56" t="inlineStr">
        <is>
          <t>AU</t>
        </is>
      </c>
      <c r="F24" s="56" t="inlineStr">
        <is>
          <t>WA</t>
        </is>
      </c>
      <c r="G24" s="56" t="inlineStr">
        <is>
          <t>Kalgoorlie</t>
        </is>
      </c>
      <c r="H24" s="56" t="n">
        <v>-29.09</v>
      </c>
      <c r="I24" s="56" t="n">
        <v>121.99</v>
      </c>
      <c r="J24" s="56" t="inlineStr">
        <is>
          <t>operating</t>
        </is>
      </c>
      <c r="K24" s="56" t="inlineStr">
        <is>
          <t>Lithium</t>
        </is>
      </c>
      <c r="L24" s="56" t="n">
        <v>514000</v>
      </c>
      <c r="M24" s="56" t="inlineStr">
        <is>
          <t>t/yr</t>
        </is>
      </c>
      <c r="N24" s="56" t="n"/>
      <c r="O24" s="56" t="inlineStr">
        <is>
          <t>FY2025 volume NOT disclosed in AR (H1 curtailed / H2 full capacity)</t>
        </is>
      </c>
      <c r="P24" s="56" t="b">
        <v>1</v>
      </c>
      <c r="Q24" s="56" t="inlineStr">
        <is>
          <t>ore</t>
        </is>
      </c>
      <c r="R24" s="56" t="inlineStr">
        <is>
          <t>2530.90</t>
        </is>
      </c>
      <c r="S24" s="56" t="inlineStr">
        <is>
          <t>jv_partner</t>
        </is>
      </c>
      <c r="T24" s="56" t="n">
        <v>0.5</v>
      </c>
      <c r="U24" s="34" t="inlineStr">
        <is>
          <t>https://www1.hkexnews.hk/listedco/listconews/sehk/2026/0430/2026043002396.pdf</t>
        </is>
      </c>
      <c r="V24" s="56" t="inlineStr">
        <is>
          <t>[GFL AR 2025 (HKEX, filed 2026-04-30) 2026-07-09] 50% JV (Mineral Resources 50%, operator MinRes). Resources 2.19Mt LCE (100% basis, AR resource table). H1-2025: output deliberately REDUCED for low-price environment (capex/cost cuts); H2-2025 back to FULL CAPACITY on price recovery (event 212). 2026: mineral-processing upgrade planned, complete ~end-2027 -&gt; capacity 600kt of 6% high-quality concentrate (current mixed-grade capacity figure retained - VERIFY). DATA FIX 2026-07-09: legacy 514,000 figure moved production-&gt;capacity (it was nameplate, not FY25 output; AR discloses no Mt Marion FY25 tonnage). [capacity detail: t spodumene concentrate/yr (legacy seeded figure - VERIFY; upgrade to 600kt @6% by end-2027)] [HS BACKFILL 2026-07-10: 2530.90 - spodumene/lepidolite concentrate; from product_end_use/name evidence, H6+mapping-table verified.]</t>
        </is>
      </c>
      <c r="W24" s="2" t="n"/>
      <c r="X24" s="2" t="n"/>
      <c r="Y24" s="2" t="n"/>
      <c r="Z24" s="2" t="n"/>
      <c r="AA24"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5" ht="15.75" customHeight="1" s="74">
      <c r="A25" s="56" t="inlineStr">
        <is>
          <t>Ganfeng Lithium Co., Ltd.</t>
        </is>
      </c>
      <c r="B25" s="56" t="inlineStr">
        <is>
          <t>CN</t>
        </is>
      </c>
      <c r="C25" s="56" t="inlineStr">
        <is>
          <t>Mount Marion Concentrator (Mt Marion JV)</t>
        </is>
      </c>
      <c r="D25" s="56" t="inlineStr">
        <is>
          <t>concentrator</t>
        </is>
      </c>
      <c r="E25" s="56" t="inlineStr">
        <is>
          <t>AU</t>
        </is>
      </c>
      <c r="F25" s="56" t="inlineStr">
        <is>
          <t>WA</t>
        </is>
      </c>
      <c r="G25" s="56" t="inlineStr">
        <is>
          <t>Kalgoorlie</t>
        </is>
      </c>
      <c r="H25" s="56" t="n">
        <v>-29.09</v>
      </c>
      <c r="I25" s="56" t="n">
        <v>121.99</v>
      </c>
      <c r="J25" s="56" t="inlineStr">
        <is>
          <t>operating</t>
        </is>
      </c>
      <c r="K25" s="56" t="inlineStr">
        <is>
          <t>Lithium</t>
        </is>
      </c>
      <c r="L25" s="56" t="n"/>
      <c r="M25" s="56" t="n"/>
      <c r="N25" s="56" t="n">
        <v>754600</v>
      </c>
      <c r="O25" s="56" t="inlineStr">
        <is>
          <t>mt/yr</t>
        </is>
      </c>
      <c r="P25" s="56" t="b">
        <v>1</v>
      </c>
      <c r="Q25" s="56" t="inlineStr">
        <is>
          <t>concentrate</t>
        </is>
      </c>
      <c r="R25" s="56" t="inlineStr">
        <is>
          <t>2530.90</t>
        </is>
      </c>
      <c r="S25" s="56" t="inlineStr">
        <is>
          <t>jv_partner</t>
        </is>
      </c>
      <c r="T25" s="56" t="n">
        <v>0.5</v>
      </c>
      <c r="U25" s="34" t="inlineStr">
        <is>
          <t>https://www1.hkexnews.hk/listedco/listconews/sehk/2026/0430/2026043002396.pdf</t>
        </is>
      </c>
      <c r="V25" s="56" t="inlineStr">
        <is>
          <t>[GFL AR 2025 (HKEX, filed 2026-04-30) 2026-07-09] RENAMED (was 'Pilbara Lithium Project' - mislabel; Ganfeng's Pilgangoora exposure is a 4.36% PLS equity stake -&gt; SR tab, NOT a facility). Existing 754.6kt capacity figure from wikipedia-era seeding - VERIFY vs upgrade plan (600kt @6% conc by end-2027). [HS BACKFILL 2026-07-10: 2530.90 - spodumene/lepidolite concentrate; from product_end_use/name evidence, H6+mapping-table verified.]</t>
        </is>
      </c>
      <c r="W25" s="2" t="n"/>
      <c r="X25" s="2" t="n"/>
      <c r="Y25" s="2" t="n"/>
      <c r="Z25" s="2" t="n"/>
      <c r="AA25"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6" ht="15.75" customHeight="1" s="74">
      <c r="A26" s="39" t="inlineStr">
        <is>
          <t>Ganfeng Lithium Co., Ltd.</t>
        </is>
      </c>
      <c r="B26" s="39" t="inlineStr">
        <is>
          <t>CN</t>
        </is>
      </c>
      <c r="C26" s="39" t="inlineStr">
        <is>
          <t>Sonora Lithium Project</t>
        </is>
      </c>
      <c r="D26" s="39" t="inlineStr">
        <is>
          <t>mine</t>
        </is>
      </c>
      <c r="E26" s="39" t="inlineStr">
        <is>
          <t>MX</t>
        </is>
      </c>
      <c r="F26" s="39" t="inlineStr">
        <is>
          <t>Sonora</t>
        </is>
      </c>
      <c r="G26" s="39" t="n"/>
      <c r="H26" s="39" t="n">
        <v>30.37</v>
      </c>
      <c r="I26" s="39" t="n">
        <v>-109.67</v>
      </c>
      <c r="J26" s="39" t="inlineStr">
        <is>
          <t>suspended</t>
        </is>
      </c>
      <c r="K26" s="39" t="inlineStr">
        <is>
          <t>Lithium</t>
        </is>
      </c>
      <c r="L26" s="39" t="n"/>
      <c r="M26" s="39" t="n"/>
      <c r="N26" s="39" t="n">
        <v>0</v>
      </c>
      <c r="O26" s="39" t="n"/>
      <c r="P26" s="39" t="b">
        <v>1</v>
      </c>
      <c r="Q26" s="39" t="inlineStr">
        <is>
          <t>ore</t>
        </is>
      </c>
      <c r="R26" s="39" t="inlineStr">
        <is>
          <t>2530.90</t>
        </is>
      </c>
      <c r="S26" s="39" t="inlineStr">
        <is>
          <t>operator</t>
        </is>
      </c>
      <c r="T26" s="39" t="n">
        <v>1</v>
      </c>
      <c r="U26" s="40" t="inlineStr">
        <is>
          <t>https://www1.hkexnews.hk/listedco/listconews/sehk/2026/0430/2026043002396.pdf</t>
        </is>
      </c>
      <c r="V26" s="39" t="inlineStr">
        <is>
          <t>The facility's development was halted due to resource nationalization disputes and legal arbitration with the Mexican government, leaving the project non-operational [GFL AR 2025 (HKEX, filed 2026-04-30) 2026-07-09] STATUS -&gt; suspended: Mexican lithium nationalization; concessions cancelled 'on pretextual grounds'; mining right RESTRICTED from mining/construction (note 43). ICSID: registered, tribunal constituted Jan-2025; merits memorial + witness/expert reports filed Apr-2025; MX constitutional/administrative suits WITHDRAWN Jul-2025 (consistent w/ restitution remedy); remedy = restitution + delay damages OR full fair-market-value compensation. Carrying value 31-Dec-25: PP&amp;E RMB324M + mining right RMB1,345M; FY25 IMPAIRMENT RMB202.0M (recoverable RMB1,467M @17.01% pre-tax). Resources 8.82Mt LCE still declared. Event 210. [HS BACKFILL 2026-07-10: 2530.90 - spodumene/lepidolite concentrate; from product_end_use/name evidence, H6+mapping-table verified.]</t>
        </is>
      </c>
      <c r="W26" s="2" t="n"/>
      <c r="X26" s="2" t="n"/>
      <c r="Y26" s="2" t="n"/>
      <c r="Z26" s="2" t="n"/>
      <c r="AA26"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7" ht="15.75" customHeight="1" s="74">
      <c r="A27" s="39" t="inlineStr">
        <is>
          <t>Ganfeng Lithium Co., Ltd.</t>
        </is>
      </c>
      <c r="B27" s="39" t="inlineStr">
        <is>
          <t>CN</t>
        </is>
      </c>
      <c r="C27" s="39" t="inlineStr">
        <is>
          <t>Sonora Lithium Processing Facility</t>
        </is>
      </c>
      <c r="D27" s="39" t="inlineStr">
        <is>
          <t>processing</t>
        </is>
      </c>
      <c r="E27" s="39" t="inlineStr">
        <is>
          <t>MX</t>
        </is>
      </c>
      <c r="F27" s="39" t="inlineStr">
        <is>
          <t>Sonora</t>
        </is>
      </c>
      <c r="G27" s="39" t="n"/>
      <c r="H27" s="39" t="n">
        <v>30.37</v>
      </c>
      <c r="I27" s="39" t="n">
        <v>-109.67</v>
      </c>
      <c r="J27" s="39" t="inlineStr">
        <is>
          <t>suspended</t>
        </is>
      </c>
      <c r="K27" s="39" t="inlineStr">
        <is>
          <t>Lithium</t>
        </is>
      </c>
      <c r="L27" s="39" t="n"/>
      <c r="M27" s="39" t="n"/>
      <c r="N27" s="39" t="n">
        <v>0</v>
      </c>
      <c r="O27" s="39" t="n"/>
      <c r="P27" s="39" t="b">
        <v>1</v>
      </c>
      <c r="Q27" s="39" t="inlineStr">
        <is>
          <t>battery_grade</t>
        </is>
      </c>
      <c r="R27" s="39" t="inlineStr">
        <is>
          <t>2836.91</t>
        </is>
      </c>
      <c r="S27" s="39" t="inlineStr">
        <is>
          <t>operator</t>
        </is>
      </c>
      <c r="T27" s="39" t="n">
        <v>1</v>
      </c>
      <c r="U27" s="40" t="inlineStr">
        <is>
          <t>https://www1.hkexnews.hk/listedco/listconews/sehk/2026/0430/2026043002396.pdf</t>
        </is>
      </c>
      <c r="V27" s="39" t="inlineStr">
        <is>
          <t>[Product: Lithium carbonate → HS 2836.91 (HIGH)] The facility's development was halted due to resource nationalization disputes and legal arbitration with the Mexican government, leaving the project non-operational [GFL AR 2025 (HKEX, filed 2026-04-30) 2026-07-09] Same suspension/ICSID context as row 28.</t>
        </is>
      </c>
      <c r="W27" s="2" t="n"/>
      <c r="X27" s="2" t="n"/>
      <c r="Y27" s="2" t="n"/>
      <c r="Z27" s="2" t="n"/>
      <c r="AA27"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8" ht="15.75" customHeight="1" s="74">
      <c r="A28" s="56" t="inlineStr">
        <is>
          <t>Ganfeng Lithium Co., Ltd.</t>
        </is>
      </c>
      <c r="B28" s="56" t="inlineStr">
        <is>
          <t>CN</t>
        </is>
      </c>
      <c r="C28" s="56" t="inlineStr">
        <is>
          <t>Cauchari‑Olaroz Lithium Project</t>
        </is>
      </c>
      <c r="D28" s="56" t="inlineStr">
        <is>
          <t>mine</t>
        </is>
      </c>
      <c r="E28" s="56" t="inlineStr">
        <is>
          <t>AR</t>
        </is>
      </c>
      <c r="F28" s="56" t="inlineStr">
        <is>
          <t>Jujuy</t>
        </is>
      </c>
      <c r="G28" s="56" t="inlineStr">
        <is>
          <t>Susques</t>
        </is>
      </c>
      <c r="H28" s="56" t="n">
        <v>-23.57</v>
      </c>
      <c r="I28" s="56" t="n">
        <v>-66.75</v>
      </c>
      <c r="J28" s="56" t="inlineStr">
        <is>
          <t>operating</t>
        </is>
      </c>
      <c r="K28" s="56" t="inlineStr">
        <is>
          <t>Lithium</t>
        </is>
      </c>
      <c r="L28" s="56" t="n">
        <v>40000</v>
      </c>
      <c r="M28" s="56" t="inlineStr">
        <is>
          <t>t/yr</t>
        </is>
      </c>
      <c r="N28" s="56" t="n">
        <v>34100</v>
      </c>
      <c r="O28" s="56" t="inlineStr">
        <is>
          <t>t Li2CO3/yr (FY2025 stated, 100% basis; 2026 guidance 35,000-40,000t)</t>
        </is>
      </c>
      <c r="P28" s="56" t="b">
        <v>1</v>
      </c>
      <c r="Q28" s="56" t="inlineStr">
        <is>
          <t>refined</t>
        </is>
      </c>
      <c r="R28" s="56" t="inlineStr">
        <is>
          <t>2530.90</t>
        </is>
      </c>
      <c r="S28" s="56" t="inlineStr">
        <is>
          <t>jv_partner</t>
        </is>
      </c>
      <c r="T28" s="56" t="n">
        <v>0.4667</v>
      </c>
      <c r="U28" s="34" t="inlineStr">
        <is>
          <t>https://www1.hkexnews.hk/listedco/listconews/sehk/2026/0430/2026043002396.pdf</t>
        </is>
      </c>
      <c r="V28" s="56" t="inlineStr">
        <is>
          <t>[GFL AR 2025 (HKEX, filed 2026-04-30) 2026-07-09] 46.67% equity WITH CONTROL (consolidated). Resources 37.70Mt LCE - one of world's largest brine projects. Ganfeng offtake right = 76% of planned 40kt output. PHASE II: 45kt LCE - env permit application submitted Dec-2025. Operator Minera Exar (w/ Lithium Argentina LAR). [GFL A-share AR 2025 (SZSE/cninfo, filed 2026-03-31) 2026-07-09] Minera Exar (project opco) FY25: total assets RMB13.9B, revenue RMB1.94B, NET LOSS RMB663M despite full Phase-I production - unit-economics signal at 2025 prices. [capacity detail: t LCE/yr Phase I designed (100% basis per AR note)] [HS BACKFILL 2026-07-10: 2530.90 - spodumene/lepidolite concentrate; from product_end_use/name evidence, H6+mapping-table verified.] [STAGE FIX 2026-07-10: ore-&gt;refined - facility output is battery-grade Li2CO3, not ore; matches Yiliping precedent.]</t>
        </is>
      </c>
      <c r="W28" s="2" t="n"/>
      <c r="X28" s="2" t="n"/>
      <c r="Y28" s="2" t="n"/>
      <c r="Z28" s="2" t="n"/>
      <c r="AA28"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29" ht="15.75" customHeight="1" s="74">
      <c r="A29" s="56" t="inlineStr">
        <is>
          <t>Ganfeng Lithium Co., Ltd.</t>
        </is>
      </c>
      <c r="B29" s="56" t="inlineStr">
        <is>
          <t>CN</t>
        </is>
      </c>
      <c r="C29" s="56" t="inlineStr">
        <is>
          <t>Mariana Lithium Project</t>
        </is>
      </c>
      <c r="D29" s="56" t="inlineStr">
        <is>
          <t>mine</t>
        </is>
      </c>
      <c r="E29" s="56" t="inlineStr">
        <is>
          <t>AR</t>
        </is>
      </c>
      <c r="F29" s="56" t="inlineStr">
        <is>
          <t>Salta</t>
        </is>
      </c>
      <c r="G29" s="56" t="n"/>
      <c r="H29" s="56" t="n">
        <v>-24.57</v>
      </c>
      <c r="I29" s="56" t="n">
        <v>-67.05</v>
      </c>
      <c r="J29" s="56" t="inlineStr">
        <is>
          <t>operating</t>
        </is>
      </c>
      <c r="K29" s="56" t="inlineStr">
        <is>
          <t>Lithium</t>
        </is>
      </c>
      <c r="L29" s="41" t="n">
        <v>20000</v>
      </c>
      <c r="M29" s="56" t="inlineStr">
        <is>
          <t>t/yr</t>
        </is>
      </c>
      <c r="N29" s="56" t="n"/>
      <c r="O29" s="56" t="n"/>
      <c r="P29" s="56" t="b">
        <v>1</v>
      </c>
      <c r="Q29" s="56" t="inlineStr">
        <is>
          <t>intermediate</t>
        </is>
      </c>
      <c r="R29" s="56" t="inlineStr">
        <is>
          <t>2827.39</t>
        </is>
      </c>
      <c r="S29" s="56" t="inlineStr">
        <is>
          <t>operator</t>
        </is>
      </c>
      <c r="T29" s="56" t="n">
        <v>1</v>
      </c>
      <c r="U29" s="34" t="inlineStr">
        <is>
          <t>https://www1.hkexnews.hk/listedco/listconews/sehk/2026/0430/2026043002396.pdf</t>
        </is>
      </c>
      <c r="V29" s="56" t="inlineStr">
        <is>
          <t>[GFL AR 2025 (HKEX, filed 2026-04-30) 2026-07-09] STATUS planned -&gt; OPERATING: Phase I 20kt LiCl commissioned Feb-2025, capacity releasing (event 213). 100% Ganfeng. Resources 8.12Mt LCE (Golder). Salta. [capacity detail: t LiCl/yr Phase I designed] [HS BACKFILL 2026-07-10: 2827.39 - LiCl output; from product_end_use/name evidence, H6+mapping-table verified.] [STAGE FIX 2026-07-10: ore-&gt;intermediate - output is LiCl (2827.39, intermediate node).]</t>
        </is>
      </c>
      <c r="W29" s="2" t="n"/>
      <c r="X29" s="2" t="n"/>
      <c r="Y29" s="2" t="n"/>
      <c r="Z29" s="2" t="n"/>
      <c r="AA29"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0" ht="15.75" customHeight="1" s="74">
      <c r="A30" s="56" t="inlineStr">
        <is>
          <t>Ganfeng Lithium Co., Ltd.</t>
        </is>
      </c>
      <c r="B30" s="56" t="inlineStr">
        <is>
          <t>CN</t>
        </is>
      </c>
      <c r="C30" s="56" t="inlineStr">
        <is>
          <t>Yichun Lepidolite Operations</t>
        </is>
      </c>
      <c r="D30" s="56" t="inlineStr">
        <is>
          <t>mine</t>
        </is>
      </c>
      <c r="E30" s="56" t="inlineStr">
        <is>
          <t>CN</t>
        </is>
      </c>
      <c r="F30" s="56" t="inlineStr">
        <is>
          <t>Jiangxi</t>
        </is>
      </c>
      <c r="G30" s="56" t="inlineStr">
        <is>
          <t>Yichun</t>
        </is>
      </c>
      <c r="H30" s="56" t="n">
        <v>27.81</v>
      </c>
      <c r="I30" s="56" t="n">
        <v>114.41</v>
      </c>
      <c r="J30" s="56" t="inlineStr">
        <is>
          <t>operating</t>
        </is>
      </c>
      <c r="K30" s="56" t="inlineStr">
        <is>
          <t>Lithium</t>
        </is>
      </c>
      <c r="L30" s="56" t="n"/>
      <c r="M30" s="56" t="n"/>
      <c r="N30" s="56" t="n"/>
      <c r="O30" s="56" t="n"/>
      <c r="P30" s="56" t="b">
        <v>1</v>
      </c>
      <c r="Q30" s="56" t="inlineStr">
        <is>
          <t>ore</t>
        </is>
      </c>
      <c r="R30" s="56" t="inlineStr">
        <is>
          <t>2530.90</t>
        </is>
      </c>
      <c r="S30" s="56" t="inlineStr">
        <is>
          <t>operator</t>
        </is>
      </c>
      <c r="T30" s="56" t="n">
        <v>1</v>
      </c>
      <c r="U30" s="34" t="inlineStr">
        <is>
          <t>ganfeng.com</t>
        </is>
      </c>
      <c r="V30" s="56" t="inlineStr">
        <is>
          <t>[GFL AR 2025 (HKEX, filed 2026-04-30) 2026-07-09] REVIEW: NOT in AR resource table (lepidolite projects listed = Songshugang/Shangrao, Vilasto/Inner Mongolia, Xianghuapu/Hunan, Gabus). Row may be stale initial seeding or conflated with Yichun Ganfeng Li-metal plant. Confirm or retire before load. [HS BACKFILL 2026-07-10: 2530.90 - spodumene/lepidolite concentrate; from product_end_use/name evidence, H6+mapping-table verified.]</t>
        </is>
      </c>
      <c r="W30" s="2" t="n"/>
      <c r="X30" s="2" t="n"/>
      <c r="Y30" s="2" t="n"/>
      <c r="Z30" s="2" t="n"/>
      <c r="AA30"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1" ht="15.75" customHeight="1" s="74">
      <c r="A31" s="56" t="inlineStr">
        <is>
          <t>Ganfeng Lithium Co., Ltd.</t>
        </is>
      </c>
      <c r="B31" s="56" t="inlineStr">
        <is>
          <t>CN</t>
        </is>
      </c>
      <c r="C31" s="56" t="inlineStr">
        <is>
          <t>Zhejiang FunLithium Solid-State Battery R&amp;D (Ningbo)</t>
        </is>
      </c>
      <c r="D31" s="56" t="inlineStr">
        <is>
          <t>r_and_d</t>
        </is>
      </c>
      <c r="E31" s="56" t="inlineStr">
        <is>
          <t>CN</t>
        </is>
      </c>
      <c r="F31" s="56" t="inlineStr">
        <is>
          <t>Jiangxi</t>
        </is>
      </c>
      <c r="G31" s="56" t="inlineStr">
        <is>
          <t>Xinyu</t>
        </is>
      </c>
      <c r="H31" s="56" t="n">
        <v>29.87</v>
      </c>
      <c r="I31" s="56" t="n">
        <v>121.55</v>
      </c>
      <c r="J31" s="56" t="inlineStr">
        <is>
          <t>operating</t>
        </is>
      </c>
      <c r="K31" s="56" t="inlineStr">
        <is>
          <t>Lithium</t>
        </is>
      </c>
      <c r="L31" s="56" t="n"/>
      <c r="M31" s="56" t="n"/>
      <c r="N31" s="56" t="n"/>
      <c r="O31" s="56" t="n"/>
      <c r="P31" s="56" t="b">
        <v>0</v>
      </c>
      <c r="Q31" s="56" t="inlineStr">
        <is>
          <t>intermediate</t>
        </is>
      </c>
      <c r="R31" s="56" t="n"/>
      <c r="S31" s="56" t="inlineStr">
        <is>
          <t>operator</t>
        </is>
      </c>
      <c r="T31" s="56" t="n">
        <v>1</v>
      </c>
      <c r="U31" s="34" t="inlineStr">
        <is>
          <t>ganfeng.com</t>
        </is>
      </c>
      <c r="V31" s="56" t="inlineStr">
        <is>
          <t>[GFL AR 2025 (HKEX, filed 2026-04-30) 2026-07-09] RENAMED: coords (29.87,121.55)=Ningbo, not Xinyu - Zhejiang FunLithium (Zhejiang Provincial Enterprise Research Institute 2025). eVTOL solid-state batteries flown on AE200-100 manned test flight Dec-2025 (AR EN text says 'Volocopter AE200-100'; CN says WoFei ChangKong - attribution VERIFY). 500Wh/kg 10Ah small-batch; 400Wh/kg &gt;1,100 cycles. [HS BACKFILL 2026-07-10: left blank - R&amp;D site - no product node.]</t>
        </is>
      </c>
      <c r="W31" s="2" t="n"/>
      <c r="X31" s="2" t="n"/>
      <c r="Y31" s="2" t="n"/>
      <c r="Z31" s="2" t="n"/>
      <c r="AA31"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2" ht="15.75" customHeight="1" s="74">
      <c r="A32" s="56" t="inlineStr">
        <is>
          <t>Sociedad Química y Minera de Chile S.A.</t>
        </is>
      </c>
      <c r="B32" s="56" t="inlineStr">
        <is>
          <t>CL</t>
        </is>
      </c>
      <c r="C32" s="56" t="inlineStr">
        <is>
          <t>Salar de Atacama Brine Operations (SQM)</t>
        </is>
      </c>
      <c r="D32" s="56" t="inlineStr">
        <is>
          <t>mine</t>
        </is>
      </c>
      <c r="E32" s="56" t="inlineStr">
        <is>
          <t>CL</t>
        </is>
      </c>
      <c r="F32" s="56" t="inlineStr">
        <is>
          <t>Antofagasta Region</t>
        </is>
      </c>
      <c r="G32" s="56" t="inlineStr">
        <is>
          <t>San Pedro de Atacama</t>
        </is>
      </c>
      <c r="H32" s="56" t="n">
        <v>-23.5</v>
      </c>
      <c r="I32" s="56" t="n">
        <v>-68.25</v>
      </c>
      <c r="J32" s="56" t="inlineStr">
        <is>
          <t>operating</t>
        </is>
      </c>
      <c r="K32" s="56" t="inlineStr">
        <is>
          <t>Lithium</t>
        </is>
      </c>
      <c r="L32" s="56" t="n">
        <v>210000</v>
      </c>
      <c r="M32" s="56" t="inlineStr">
        <is>
          <t>t/yr</t>
        </is>
      </c>
      <c r="N32" s="56" t="n">
        <v>233100</v>
      </c>
      <c r="O32" s="56" t="inlineStr">
        <is>
          <t>t LCE</t>
        </is>
      </c>
      <c r="P32" s="56" t="b">
        <v>1</v>
      </c>
      <c r="Q32" s="56" t="inlineStr">
        <is>
          <t>ore</t>
        </is>
      </c>
      <c r="R32" s="56" t="inlineStr">
        <is>
          <t>2530.90</t>
        </is>
      </c>
      <c r="S32" s="56" t="inlineStr">
        <is>
          <t>operator</t>
        </is>
      </c>
      <c r="T32" s="56" t="n">
        <v>1</v>
      </c>
      <c r="U32" s="56" t="inlineStr">
        <is>
          <t>SQM</t>
        </is>
      </c>
      <c r="V32" s="56" t="inlineStr">
        <is>
          <t>| FY25 sales volume 233.1 kt LCE per Item 5.A Novandino Litio line. Nominal Li carbonate capacity 210 kt/yr end-2025 (per Item 4.B); Novandino target 240 kt/yr by 2028. Post-2025 operated as Codelco-SQM Novandino Litio JV. [capacity detail: t Li carbonate/yr] [HS BACKFILL 2026-07-10: 2530.90 - spodumene/lepidolite concentrate; from product_end_use/name evidence, H6+mapping-table verified.] [2026-07-11: facility_name disambiguated — separate operation from Albemarle's, see row above.]</t>
        </is>
      </c>
      <c r="W32" s="2" t="n"/>
      <c r="X32" s="2" t="n"/>
      <c r="Y32" s="2" t="n"/>
      <c r="Z32" s="2" t="n"/>
      <c r="AA32"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3" ht="15.75" customHeight="1" s="74">
      <c r="A33" s="56" t="inlineStr">
        <is>
          <t>Sociedad Química y Minera de Chile S.A.</t>
        </is>
      </c>
      <c r="B33" s="56" t="inlineStr">
        <is>
          <t>CL</t>
        </is>
      </c>
      <c r="C33" s="56" t="inlineStr">
        <is>
          <t>Mt Holland Lithium Mine</t>
        </is>
      </c>
      <c r="D33" s="56" t="inlineStr">
        <is>
          <t>mine</t>
        </is>
      </c>
      <c r="E33" s="56" t="inlineStr">
        <is>
          <t>AU</t>
        </is>
      </c>
      <c r="F33" s="56" t="inlineStr">
        <is>
          <t>WA</t>
        </is>
      </c>
      <c r="G33" s="56" t="inlineStr">
        <is>
          <t>Southern Cross</t>
        </is>
      </c>
      <c r="H33" s="56" t="n">
        <v>-32.1</v>
      </c>
      <c r="I33" s="56" t="n">
        <v>118.6</v>
      </c>
      <c r="J33" s="56" t="inlineStr">
        <is>
          <t>operating</t>
        </is>
      </c>
      <c r="K33" s="56" t="inlineStr">
        <is>
          <t>Lithium</t>
        </is>
      </c>
      <c r="L33" s="56" t="n">
        <v>383000</v>
      </c>
      <c r="M33" s="56" t="inlineStr">
        <is>
          <t>t/yr</t>
        </is>
      </c>
      <c r="N33" s="56" t="n">
        <v>383000</v>
      </c>
      <c r="O33" s="56" t="inlineStr">
        <is>
          <t>dmt/yr spodumene 5.5% Li2O</t>
        </is>
      </c>
      <c r="P33" s="56" t="b">
        <v>1</v>
      </c>
      <c r="Q33" s="56" t="inlineStr">
        <is>
          <t>ore</t>
        </is>
      </c>
      <c r="R33" s="56" t="inlineStr">
        <is>
          <t>2530.90</t>
        </is>
      </c>
      <c r="S33" s="56" t="inlineStr">
        <is>
          <t>jv_partner</t>
        </is>
      </c>
      <c r="T33" s="56" t="n">
        <v>0.5</v>
      </c>
      <c r="U33" s="56" t="inlineStr">
        <is>
          <t>Covalent Lithium</t>
        </is>
      </c>
      <c r="V33" s="56" t="inlineStr">
        <is>
          <t>| Mt Holland concentrator reached NAMEPLATE capacity 383 kt/yr spodumene concentrate at 5.5% Li2O in 2025 per Item 4.B. Feeds Kwinana refinery (Row 41). 50/50 JV Covalent Lithium — SQM 50% + Wesfarmers 50%. 24.8 kt LCE International Lithium Division sales in 2025. [capacity detail: dmt/yr spodumene] [HS BACKFILL 2026-07-10: 2530.90 - spodumene/lepidolite concentrate; from product_end_use/name evidence, H6+mapping-table verified.]</t>
        </is>
      </c>
      <c r="W33" s="2" t="n"/>
      <c r="X33" s="2" t="n"/>
      <c r="Y33" s="2" t="n"/>
      <c r="Z33" s="2" t="n"/>
      <c r="AA33"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4" ht="15.75" customHeight="1" s="74">
      <c r="A34" s="56" t="inlineStr">
        <is>
          <t>Sociedad Química y Minera de Chile S.A.</t>
        </is>
      </c>
      <c r="B34" s="56" t="inlineStr">
        <is>
          <t>CL</t>
        </is>
      </c>
      <c r="C34" s="56" t="inlineStr">
        <is>
          <t>Kwinana Lithium Hydroxide Refinery (Covalent Lithium)</t>
        </is>
      </c>
      <c r="D34" s="56" t="inlineStr">
        <is>
          <t>refinery</t>
        </is>
      </c>
      <c r="E34" s="56" t="inlineStr">
        <is>
          <t>AU</t>
        </is>
      </c>
      <c r="F34" s="56" t="inlineStr">
        <is>
          <t>WA</t>
        </is>
      </c>
      <c r="G34" s="56" t="inlineStr">
        <is>
          <t>Kwinana</t>
        </is>
      </c>
      <c r="H34" s="56" t="n">
        <v>-32.25</v>
      </c>
      <c r="I34" s="56" t="n">
        <v>115.76</v>
      </c>
      <c r="J34" s="56" t="inlineStr">
        <is>
          <t>operating</t>
        </is>
      </c>
      <c r="K34" s="56" t="inlineStr">
        <is>
          <t>Lithium</t>
        </is>
      </c>
      <c r="L34" s="41" t="n">
        <v>50000</v>
      </c>
      <c r="M34" s="56" t="inlineStr">
        <is>
          <t>t/yr</t>
        </is>
      </c>
      <c r="N34" s="56" t="n"/>
      <c r="O34" s="56" t="n"/>
      <c r="P34" s="56" t="b">
        <v>1</v>
      </c>
      <c r="Q34" s="56" t="inlineStr">
        <is>
          <t>battery_grade</t>
        </is>
      </c>
      <c r="R34" s="56" t="inlineStr">
        <is>
          <t>2825.20</t>
        </is>
      </c>
      <c r="S34" s="56" t="inlineStr">
        <is>
          <t>jv_partner</t>
        </is>
      </c>
      <c r="T34" s="56" t="n">
        <v>0.5</v>
      </c>
      <c r="U34" s="56" t="inlineStr">
        <is>
          <t>Covalent Lithium</t>
        </is>
      </c>
      <c r="V34" s="56" t="inlineStr">
        <is>
          <t>[Product: Lithium hydroxide → HS 2825.20 (HIGH)]  | Kwinana LiOH refinery capacity 50 kt/yr LiOH (SQM 50% JV share = 25 kt/yr attributable). Commenced ramp-up 2025 per Item 4.B. Fed by Mt Holland spodumene concentrate. [capacity detail: t LiOH/yr]</t>
        </is>
      </c>
      <c r="W34" s="2" t="n"/>
      <c r="X34" s="2" t="n"/>
      <c r="Y34" s="2" t="n"/>
      <c r="Z34" s="2" t="n"/>
      <c r="AA34"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35" ht="15.75" customHeight="1" s="74">
      <c r="A35" s="77" t="inlineStr">
        <is>
          <t>Vale S.A.</t>
        </is>
      </c>
      <c r="B35" s="77" t="inlineStr">
        <is>
          <t>BR</t>
        </is>
      </c>
      <c r="C35" s="77" t="inlineStr">
        <is>
          <t>Serra Norte Complex</t>
        </is>
      </c>
      <c r="D35" s="77" t="inlineStr">
        <is>
          <t>mine</t>
        </is>
      </c>
      <c r="E35" s="77" t="inlineStr">
        <is>
          <t>BR</t>
        </is>
      </c>
      <c r="F35" s="77" t="inlineStr">
        <is>
          <t>Pará</t>
        </is>
      </c>
      <c r="G35" s="77" t="inlineStr">
        <is>
          <t>Parauapebas</t>
        </is>
      </c>
      <c r="H35" s="77" t="n">
        <v>-6.07</v>
      </c>
      <c r="I35" s="77" t="n">
        <v>-50.05</v>
      </c>
      <c r="J35" s="77" t="inlineStr">
        <is>
          <t>operating</t>
        </is>
      </c>
      <c r="K35" s="77" t="inlineStr">
        <is>
          <t>Iron Ore</t>
        </is>
      </c>
      <c r="L35" s="78" t="n">
        <v>145</v>
      </c>
      <c r="M35" s="77" t="inlineStr">
        <is>
          <t>mt/yr</t>
        </is>
      </c>
      <c r="N35" s="77" t="n">
        <v>78.09999999999999</v>
      </c>
      <c r="O35" s="77" t="inlineStr">
        <is>
          <t>mt/yr</t>
        </is>
      </c>
      <c r="P35" s="79" t="inlineStr">
        <is>
          <t>TRUE</t>
        </is>
      </c>
      <c r="Q35" s="79" t="inlineStr">
        <is>
          <t>ore</t>
        </is>
      </c>
      <c r="R35" s="79" t="inlineStr">
        <is>
          <t>2601</t>
        </is>
      </c>
      <c r="S35" s="79" t="inlineStr">
        <is>
          <t>operator</t>
        </is>
      </c>
      <c r="T35" s="79" t="n">
        <v>1</v>
      </c>
      <c r="U35" s="79" t="inlineStr">
        <is>
          <t>https://www.sec.gov/cgi-bin/browse-edgar?action=getcompany&amp;CIK=0000917851&amp;type=20-F</t>
        </is>
      </c>
      <c r="V35" s="79" t="inlineStr">
        <is>
          <t>NORTHERN SYSTEM / Carajás. 30,000 ha (ANM 813.682/1969, Grupamento Mineiro 852.145/1976, no expiration). 5 orebodies: N4 (operating), N5 (operating), N1/N2/N3 (planned to open per current LoM). Plus Gelado tailings dam dredge for tailings reprocessing. CAPACITY: 3 plants totaling 145 Mtpy ore + Gelado 14 Mtpy. Plant 1 (85 Mtpy, mixed beneficiation→ converting to 100% dry by 2026-2027). Plant 2 (40 Mtpy, natural moisture). Plant 3 (20 Mtpy, NM). UTILIZATION: 2025 production 78.1 Mt = 49% of nameplate — depletion/strip-ratio constrained, not demand. Declining 91.3 (2023) → 78.1 (2025). RESERVES (FY2025): 1,512.3 Mt P+P @ 64.6% Fe avg (374 Mt Proven + 1,138 Mt Probable). RESOURCES: 1,351.5 Mt M+I + 302.7 Mt Inferred @ 66.3% Fe. Met recovery 96.7%/97.3%. PRICE ASSUMPTIONS: $84.3/dmt reserves, $92.3/dmt resources (62% Fe basis). MINE LIFE: 2025-2045 (20yr plan). Operating license (N4+N5) valid through Feb 2035 — renewal risk. BOOK VALUE: $3,323M (complex+plant+equipment, excl ports/rail). SURFACE: located within National Forest of Carajás + Igarapé Gelado EPA. Federal forest land. IBAMA + ICMBIO licenses. NO surface payments. INFRASTRUCTURE: 50 km E of Parauapebas (pop 267k). EFC railroad → Ponta da Madeira port. Power: BR national grid. Water: Gelado + Pera dams. GEOLOGY: Carajás Syncline inverted flank. BIF supergenic enrichment. Hematite (friable/compact/manganiferous). HISTORY: 1922 first exploration. 1967 US Steel. 1977 Vale acquired USS stake. 1979 construction. 1984 N4E start, 1994 N4W. S-K 1300 material property — TRS Exhibit 96.1. | FY2025 RESERVES TABLE: Reserves FY2025: 1,512.3 Mt P+P @ 64.6% Fe (-56 Mt vs 2024 from -85 Mt depletion + -64 Mt env constraints + -23 Mt model review, partially offset by +110 Mt design review). Resources M+I 1,351.5 Mt + Inf 302.7 Mt. PROJECTED EXHAUSTION 2048 (extended +3 yrs vs 2024 LoM). *** VALE 20-F Sec 1.1.2: 78.1 Mt FY25 (DOWN from 87.6 Mt FY24, 91.3 Mt FY23 — material decline attributed to reserves depletion, updated TRS filed as Exhibit 96.1). Process recovery 98.6%. Northern System. Material property per S-K 1300.</t>
        </is>
      </c>
      <c r="W35" s="79" t="n">
        <v>1984</v>
      </c>
      <c r="X35" s="79" t="inlineStr">
        <is>
          <t>open_pit</t>
        </is>
      </c>
      <c r="Y35" s="79" t="n">
        <v>0.967</v>
      </c>
      <c r="Z35" s="79" t="n">
        <v>2048</v>
      </c>
      <c r="AA35" s="79" t="inlineStr">
        <is>
          <t>Steel-grade hematite (66% Fe) — high-quality lump + fines for blast-furnace steelmaking. Premium product for Asian (esp. Chinese) steelmakers. NOT battery-grade. Gelado tailings dredge contributes some lower-grade tailings recovery (~63% Fe).</t>
        </is>
      </c>
    </row>
    <row r="36" ht="15.75" customHeight="1" s="74">
      <c r="A36" s="77" t="inlineStr">
        <is>
          <t>Vale S.A.</t>
        </is>
      </c>
      <c r="B36" s="77" t="inlineStr">
        <is>
          <t>BR</t>
        </is>
      </c>
      <c r="C36" s="77" t="inlineStr">
        <is>
          <t>Serra Sul Complex (S11D)</t>
        </is>
      </c>
      <c r="D36" s="77" t="inlineStr">
        <is>
          <t>mine</t>
        </is>
      </c>
      <c r="E36" s="77" t="inlineStr">
        <is>
          <t>BR</t>
        </is>
      </c>
      <c r="F36" s="77" t="inlineStr">
        <is>
          <t>Pará</t>
        </is>
      </c>
      <c r="G36" s="77" t="inlineStr">
        <is>
          <t>Canaã dos Carajás</t>
        </is>
      </c>
      <c r="H36" s="77" t="n">
        <v>-6.39</v>
      </c>
      <c r="I36" s="77" t="n">
        <v>-50.46</v>
      </c>
      <c r="J36" s="77" t="inlineStr">
        <is>
          <t>operating</t>
        </is>
      </c>
      <c r="K36" s="77" t="inlineStr">
        <is>
          <t>Iron Ore</t>
        </is>
      </c>
      <c r="L36" s="78" t="n">
        <v>90</v>
      </c>
      <c r="M36" s="77" t="inlineStr">
        <is>
          <t>mt/yr</t>
        </is>
      </c>
      <c r="N36" s="77" t="n">
        <v>86</v>
      </c>
      <c r="O36" s="77" t="inlineStr">
        <is>
          <t>mt/yr</t>
        </is>
      </c>
      <c r="P36" s="79" t="inlineStr">
        <is>
          <t>TRUE</t>
        </is>
      </c>
      <c r="Q36" s="79" t="inlineStr">
        <is>
          <t>ore</t>
        </is>
      </c>
      <c r="R36" s="79" t="inlineStr">
        <is>
          <t>2601</t>
        </is>
      </c>
      <c r="S36" s="79" t="inlineStr">
        <is>
          <t>operator</t>
        </is>
      </c>
      <c r="T36" s="79" t="n">
        <v>1</v>
      </c>
      <c r="U36" s="79" t="inlineStr">
        <is>
          <t>https://www.sec.gov/cgi-bin/browse-edgar?action=getcompany&amp;CIK=0000917851&amp;type=20-F</t>
        </is>
      </c>
      <c r="V36" s="79" t="inlineStr">
        <is>
          <t>NORTHERN SYSTEM / Carajás. 98,910.42 ha (ANM 813.684/1969, Grupamento Mineiro 852.145/1976, shared concession w/ Serra Norte + Serra Leste). Orebody S11 subdivided A/B/C/D — current production only at S11D; reserves defined for C+D. S11A+S11B = future potential. CAPACITY: 90 Mtpy current nominal; 120 Mtpy expansion in development. UTILIZATION: 95% (86 Mt FY2025 vs 90 Mt nominal) — Vale's most productive iron ore asset. RESERVES (FY2025): 3,605.1 Mt P+P @ 65.3% Fe (1,416 Mt Proven + 2,189 Mt Probable). Over 2x Serra Norte. RESOURCES: 704.4 Mt M+I + 100.6 Mt Inferred (M+I declining 897 → 704 from depletion of measured category). METALLURGICAL RECOVERY: 100% — highest in Vale portfolio. MINE LIFE: ~42 years at current rate (3,605 Mt / 86 Mt/yr). Resources/reserves only defined for S11C+D — S11A/B not yet evaluated. OPERATING LICENSE: Valid through Dec 9, 2026 — RENEWAL RISK (~6 months from this filing). BOOK VALUE: $6,047M — nearly 2x Serra Norte's $3.3B. *** NO TAILINGS STORAGE FACILITY *** — plant is 100% DRY PROCESSING. Major operational risk advantage post-Brumadinho. MINING METHOD: Open pit + 4 mobile crushing systems with conveyor belts (innovative; avoids truck-shovel where possible). AREA REDUCTION (2021): Vale voluntarily relinquished 1,090 ha to remove Indigenous Lands from concession (100,000 → 98,910 ha). Effective upon ANM Official Gazette. SURFACE: 100% within National Forest of Carajás (federal forest). IBAMA + ICMBIO licenses. No surface payments. INFRASTRUCTURE: 50 km from Canaã dos Carajás (pop 77k). 83 km via PA-275 + PA-160 to Carajás airport. 101-km rail spur to EFC railroad → Ponta da Madeira port. GEOLOGY: Carajás Syncline NORMAL flank (vs Serra Norte inverted). Sub-horizontal tabular layer of hematite (friable/compact/manganiferous) over BIF. OPERATOR HISTORY: 1922 first surveys. 1933 first iron citations. 1967 US Steel exploration. 1977 Vale acquired USS stake. 2016 mine operations began. S-K 1300 material property — separate TRS filed. | FY2025 RESERVES TABLE: Reserves FY2025: 3,605.1 Mt P+P @ 65.3% Fe (+203 Mt vs 2024 = +6%, from +122 Mt design review + +304 Mt env constraints, partially offset by -93 Mt depletion + -82 Mt model review). PROJECTED EXHAUSTION 2067 (extended +7 yrs vs 2024). *** VALE 20-F Sec 1.1.2: 86.0 Mt FY25 (up from 83.0 Mt FY24, 75.0 Mt FY23). Process recovery 100.0%. Northern System. Material property per S-K 1300.</t>
        </is>
      </c>
      <c r="W36" s="79" t="n">
        <v>2016</v>
      </c>
      <c r="X36" s="79" t="inlineStr">
        <is>
          <t>open_pit</t>
        </is>
      </c>
      <c r="Y36" s="79" t="n">
        <v>1</v>
      </c>
      <c r="Z36" s="79" t="n">
        <v>2067</v>
      </c>
      <c r="AA36" s="79" t="inlineStr">
        <is>
          <t>Steel-grade hematite (66% Fe) — Vale's newest high-quality fines for blast-furnace steelmaking. Strategic premium product for Asian integrated mills + decarbonization-grade applications (high purity). NOT battery-grade.</t>
        </is>
      </c>
    </row>
    <row r="37" ht="15.75" customHeight="1" s="74">
      <c r="A37" s="80" t="inlineStr">
        <is>
          <t>Vale S.A.</t>
        </is>
      </c>
      <c r="B37" s="79" t="inlineStr">
        <is>
          <t>BR</t>
        </is>
      </c>
      <c r="C37" s="79" t="inlineStr">
        <is>
          <t>Serra Leste Complex</t>
        </is>
      </c>
      <c r="D37" s="79" t="inlineStr">
        <is>
          <t>mine</t>
        </is>
      </c>
      <c r="E37" s="79" t="inlineStr">
        <is>
          <t>BR</t>
        </is>
      </c>
      <c r="F37" s="79" t="inlineStr">
        <is>
          <t>Pará</t>
        </is>
      </c>
      <c r="G37" s="79" t="inlineStr">
        <is>
          <t>Curionópolis</t>
        </is>
      </c>
      <c r="H37" s="56" t="n">
        <v>-32.1</v>
      </c>
      <c r="I37" s="56" t="n">
        <v>118.6</v>
      </c>
      <c r="J37" s="79" t="inlineStr">
        <is>
          <t>operating</t>
        </is>
      </c>
      <c r="K37" s="79" t="inlineStr">
        <is>
          <t>Iron Ore</t>
        </is>
      </c>
      <c r="L37" s="56" t="n"/>
      <c r="M37" s="56" t="n"/>
      <c r="N37" s="79" t="n">
        <v>6</v>
      </c>
      <c r="O37" s="79" t="inlineStr">
        <is>
          <t>mt/yr</t>
        </is>
      </c>
      <c r="P37" s="79" t="inlineStr">
        <is>
          <t>TRUE</t>
        </is>
      </c>
      <c r="Q37" s="79" t="inlineStr">
        <is>
          <t>ore</t>
        </is>
      </c>
      <c r="R37" s="79" t="inlineStr">
        <is>
          <t>2601</t>
        </is>
      </c>
      <c r="S37" s="79" t="inlineStr">
        <is>
          <t>operator</t>
        </is>
      </c>
      <c r="T37" s="79" t="n">
        <v>1</v>
      </c>
      <c r="U37" s="79" t="inlineStr">
        <is>
          <t>https://www.sec.gov/cgi-bin/browse-edgar?action=getcompany&amp;CIK=0000917851&amp;type=20-F</t>
        </is>
      </c>
      <c r="V37" s="79" t="inlineStr">
        <is>
          <t>Part of Northern System / Carajás. 9,915 ha. 1 mining area + 1 beneficiation plant. 66% Fe hematite + some itabirite (35-60% Fe). Smallest of Northern System. Trucked to EFC railroad. | FY2025 RESERVES TABLE: Reserves FY2025: 362.0 Mt P+P @ 64.4% Fe (-6 Mt vs 2024 from depletion). PROJECTED EXHAUSTION 2068 (DECREASE -9 yrs vs 2024 estimate of 2077). *** VALE 20-F Sec 1.1.2: 6.0 Mt FY25 (up from 5.1 Mt FY24, 5.7 Mt FY23). Process recovery 100.0%. Northern System.</t>
        </is>
      </c>
      <c r="W37" s="79" t="n">
        <v>2014</v>
      </c>
      <c r="X37" s="79" t="inlineStr">
        <is>
          <t>open_pit</t>
        </is>
      </c>
      <c r="Y37" s="79" t="n">
        <v>1</v>
      </c>
      <c r="Z37" s="79" t="n">
        <v>2068</v>
      </c>
      <c r="AA37" s="79" t="inlineStr">
        <is>
          <t>Steel-grade hematite + some itabirite — fines + concentrate for BF steelmaking. NOT battery-grade.</t>
        </is>
      </c>
    </row>
    <row r="38" ht="15.75" customHeight="1" s="74">
      <c r="A38" s="80" t="inlineStr">
        <is>
          <t>Vale S.A.</t>
        </is>
      </c>
      <c r="B38" s="79" t="inlineStr">
        <is>
          <t>BR</t>
        </is>
      </c>
      <c r="C38" s="79" t="inlineStr">
        <is>
          <t>Serra do Rabo Project</t>
        </is>
      </c>
      <c r="D38" s="79" t="inlineStr">
        <is>
          <t>mine</t>
        </is>
      </c>
      <c r="E38" s="79" t="inlineStr">
        <is>
          <t>BR</t>
        </is>
      </c>
      <c r="F38" s="79" t="inlineStr">
        <is>
          <t>Pará</t>
        </is>
      </c>
      <c r="G38" s="79" t="inlineStr">
        <is>
          <t>Canaã dos Carajás</t>
        </is>
      </c>
      <c r="H38" s="56" t="n">
        <v>-32.1</v>
      </c>
      <c r="I38" s="56" t="n">
        <v>118.6</v>
      </c>
      <c r="J38" s="79" t="inlineStr">
        <is>
          <t>planned</t>
        </is>
      </c>
      <c r="K38" s="79" t="inlineStr">
        <is>
          <t>Iron Ore</t>
        </is>
      </c>
      <c r="L38" s="56" t="n"/>
      <c r="M38" s="56" t="n"/>
      <c r="N38" s="56" t="n">
        <v>380000</v>
      </c>
      <c r="O38" s="56" t="inlineStr">
        <is>
          <t>mt/yr</t>
        </is>
      </c>
      <c r="P38" s="79" t="inlineStr">
        <is>
          <t>TRUE</t>
        </is>
      </c>
      <c r="Q38" s="79" t="inlineStr">
        <is>
          <t>ore</t>
        </is>
      </c>
      <c r="R38" s="79" t="inlineStr">
        <is>
          <t>2601</t>
        </is>
      </c>
      <c r="S38" s="79" t="inlineStr">
        <is>
          <t>operator</t>
        </is>
      </c>
      <c r="T38" s="79" t="n">
        <v>1</v>
      </c>
      <c r="U38" s="79" t="inlineStr">
        <is>
          <t>https://www.sec.gov/cgi-bin/browse-edgar?action=getcompany&amp;CIK=0000917851&amp;type=20-F</t>
        </is>
      </c>
      <c r="V38" s="79" t="inlineStr">
        <is>
          <t>GREENFIELD project. Northern System / Carajás. Currently FEL 2 (Pre-feasibility) — technical study ongoing. High-quality hematite. Will share infrastructure with Serra Sul. Included in 98,910 ha Serra Sul concession.</t>
        </is>
      </c>
      <c r="W38" s="2" t="n"/>
      <c r="X38" s="79" t="inlineStr">
        <is>
          <t>open_pit</t>
        </is>
      </c>
      <c r="Y38" s="2" t="n"/>
      <c r="Z38" s="2" t="n"/>
      <c r="AA38" s="79" t="inlineStr">
        <is>
          <t>Greenfield project — planned high-grade hematite for steelmaking market (continuation of Carajás portfolio). NOT battery-grade.</t>
        </is>
      </c>
    </row>
    <row r="39" ht="15.75" customHeight="1" s="74">
      <c r="A39" s="80" t="inlineStr">
        <is>
          <t>Vale S.A.</t>
        </is>
      </c>
      <c r="B39" s="79" t="inlineStr">
        <is>
          <t>BR</t>
        </is>
      </c>
      <c r="C39" s="79" t="inlineStr">
        <is>
          <t>Gelado Tailings Dam</t>
        </is>
      </c>
      <c r="D39" s="79" t="inlineStr">
        <is>
          <t>other</t>
        </is>
      </c>
      <c r="E39" s="79" t="inlineStr">
        <is>
          <t>BR</t>
        </is>
      </c>
      <c r="F39" s="79" t="inlineStr">
        <is>
          <t>Pará</t>
        </is>
      </c>
      <c r="G39" s="79" t="inlineStr">
        <is>
          <t>Parauapebas</t>
        </is>
      </c>
      <c r="H39" s="79" t="n">
        <v>-6.05</v>
      </c>
      <c r="I39" s="79" t="n">
        <v>-50.04</v>
      </c>
      <c r="J39" s="79" t="inlineStr">
        <is>
          <t>operating</t>
        </is>
      </c>
      <c r="K39" s="79" t="inlineStr">
        <is>
          <t>Iron Ore</t>
        </is>
      </c>
      <c r="L39" s="81" t="n">
        <v>14</v>
      </c>
      <c r="M39" s="79" t="inlineStr">
        <is>
          <t>mt/yr</t>
        </is>
      </c>
      <c r="N39" s="56" t="n">
        <v>50000</v>
      </c>
      <c r="O39" s="56" t="inlineStr">
        <is>
          <t>mt/yr</t>
        </is>
      </c>
      <c r="P39" s="79" t="inlineStr">
        <is>
          <t>FALSE</t>
        </is>
      </c>
      <c r="Q39" s="79" t="inlineStr">
        <is>
          <t>ore</t>
        </is>
      </c>
      <c r="R39" s="79" t="inlineStr">
        <is>
          <t>2601</t>
        </is>
      </c>
      <c r="S39" s="79" t="inlineStr">
        <is>
          <t>operator</t>
        </is>
      </c>
      <c r="T39" s="79" t="n">
        <v>1</v>
      </c>
      <c r="U39" s="79" t="inlineStr">
        <is>
          <t>https://www.sec.gov/cgi-bin/browse-edgar?action=getcompany&amp;CIK=0000917851&amp;type=20-F</t>
        </is>
      </c>
      <c r="V39" s="79" t="inlineStr">
        <is>
          <t>DUAL FUNCTION: (1) tailings containment for Serra Norte plants; (2) active iron-ore mining via dredge method (tailings reprocessing). DREDGE PLANT: 14 Mtpy designed capacity. Material thickened and pumped to Plant 1 wet circuit. GRADE: ~63% Fe (vs ~66% in-situ). Met recovery ~50% (vs 100% for in-situ ore). Tailings tonnage = 5.6% of Serra Norte resources, 6.4% of reserves. 1 of 50 Vale TSFs, GISTM-compliant Aug 2025. UTM SAD69: 591,584E 9,338,906N. Located in Igarapé Gelado EPA (federal protected area).</t>
        </is>
      </c>
      <c r="W39" s="2" t="n"/>
      <c r="X39" s="2" t="n"/>
      <c r="Y39" s="2" t="n"/>
      <c r="Z39" s="2" t="n"/>
      <c r="AA39" s="79" t="inlineStr">
        <is>
          <t>Tailings reprocessing — recovered iron product (~63% Fe) reblended into Serra Norte product stream for steelmaking. NOT battery-grade. Facility primarily functions as containment.</t>
        </is>
      </c>
    </row>
    <row r="40" ht="15.75" customHeight="1" s="74">
      <c r="A40" s="79" t="inlineStr">
        <is>
          <t>Vale S.A.</t>
        </is>
      </c>
      <c r="B40" s="79" t="inlineStr">
        <is>
          <t>BR</t>
        </is>
      </c>
      <c r="C40" s="79" t="inlineStr">
        <is>
          <t>Itabira Complex</t>
        </is>
      </c>
      <c r="D40" s="79" t="inlineStr">
        <is>
          <t>mine</t>
        </is>
      </c>
      <c r="E40" s="79" t="inlineStr">
        <is>
          <t>BR</t>
        </is>
      </c>
      <c r="F40" s="79" t="inlineStr">
        <is>
          <t>Minas Gerais</t>
        </is>
      </c>
      <c r="G40" s="79" t="inlineStr">
        <is>
          <t>Itabira</t>
        </is>
      </c>
      <c r="H40" s="79" t="n">
        <v>-19.62</v>
      </c>
      <c r="I40" s="79" t="n">
        <v>-43.22</v>
      </c>
      <c r="J40" s="79" t="inlineStr">
        <is>
          <t>operating</t>
        </is>
      </c>
      <c r="K40" s="79" t="inlineStr">
        <is>
          <t>Iron Ore</t>
        </is>
      </c>
      <c r="L40" s="56" t="n"/>
      <c r="M40" s="56" t="n"/>
      <c r="N40" s="79" t="n">
        <v>25.2</v>
      </c>
      <c r="O40" s="79" t="inlineStr">
        <is>
          <t>mt/yr</t>
        </is>
      </c>
      <c r="P40" s="79" t="inlineStr">
        <is>
          <t>TRUE</t>
        </is>
      </c>
      <c r="Q40" s="80" t="inlineStr">
        <is>
          <t>ore</t>
        </is>
      </c>
      <c r="R40" s="79" t="inlineStr">
        <is>
          <t>2601</t>
        </is>
      </c>
      <c r="S40" s="79" t="inlineStr">
        <is>
          <t>operator</t>
        </is>
      </c>
      <c r="T40" s="79" t="n">
        <v>1</v>
      </c>
      <c r="U40" s="79" t="inlineStr">
        <is>
          <t>https://www.sec.gov/cgi-bin/browse-edgar?action=getcompany&amp;CIK=0000917851&amp;type=20-F</t>
        </is>
      </c>
      <c r="V40" s="79" t="inlineStr">
        <is>
          <t>Southeastern System / Iron Quadrangle. 8,344 ha. 2 mines + 3 major beneficiation plants. OLDEST Vale mine (68 yrs). 50.8% recovery — lowest in portfolio, reflects depleting high-grade ore. Itabirite ore (35-60% Fe) requires concentration. Part shipped + blended in Asia with Northern System high-grade. Logistics: EFVM railroad → Tubarão port (Espírito Santo). | FY2025 RESERVES TABLE: *** RESERVES SURGE FY2025: 1,151.3 Mt P+P @ 45.8% Fe — +52% vs 2024 (759.7 Mt) *** from new exploration data + processing studies that enable processing of new materials. -40 Mt depletion offset. *** PROJECTED EXHAUSTION 2053 — EXTENDED +12 YEARS vs 2024 estimate of 2041. *** Includes Conceição and Minas do Meio mines. *** VALE 20-F Sec 1.1.2 (p.47) FY25 Iron Ore Production: 25.2 Mt (DOWN from 29.8 Mt FY24, 29.2 Mt FY23). Process recovery 50.8%. Southeastern System.</t>
        </is>
      </c>
      <c r="W40" s="79" t="n">
        <v>1957</v>
      </c>
      <c r="X40" s="79" t="inlineStr">
        <is>
          <t>open_pit</t>
        </is>
      </c>
      <c r="Y40" s="79" t="n">
        <v>0.508</v>
      </c>
      <c r="Z40" s="79" t="n">
        <v>2053</v>
      </c>
      <c r="AA40" s="79" t="inlineStr">
        <is>
          <t>Itabirite ore (35-60% Fe) concentrated to shipping grade. Steel-grade fines and lump. Part shipped + blended in Asia with Northern System high-grade for blast furnaces. NOT battery-grade.</t>
        </is>
      </c>
    </row>
    <row r="41" ht="15.75" customHeight="1" s="74">
      <c r="A41" s="79" t="inlineStr">
        <is>
          <t>Vale S.A.</t>
        </is>
      </c>
      <c r="B41" s="79" t="inlineStr">
        <is>
          <t>BR</t>
        </is>
      </c>
      <c r="C41" s="79" t="inlineStr">
        <is>
          <t>Minas Centrais Complex</t>
        </is>
      </c>
      <c r="D41" s="79" t="inlineStr">
        <is>
          <t>mine</t>
        </is>
      </c>
      <c r="E41" s="79" t="inlineStr">
        <is>
          <t>BR</t>
        </is>
      </c>
      <c r="F41" s="79" t="inlineStr">
        <is>
          <t>Minas Gerais</t>
        </is>
      </c>
      <c r="G41" s="56" t="inlineStr">
        <is>
          <t>Leonora</t>
        </is>
      </c>
      <c r="H41" s="56" t="n">
        <v>-28.77</v>
      </c>
      <c r="I41" s="56" t="n">
        <v>121.89</v>
      </c>
      <c r="J41" s="79" t="inlineStr">
        <is>
          <t>operating</t>
        </is>
      </c>
      <c r="K41" s="79" t="inlineStr">
        <is>
          <t>Iron Ore</t>
        </is>
      </c>
      <c r="L41" s="56" t="n"/>
      <c r="M41" s="56" t="n"/>
      <c r="N41" s="79" t="n">
        <v>30.2</v>
      </c>
      <c r="O41" s="79" t="inlineStr">
        <is>
          <t>mt/yr</t>
        </is>
      </c>
      <c r="P41" s="79" t="inlineStr">
        <is>
          <t>TRUE</t>
        </is>
      </c>
      <c r="Q41" s="80" t="inlineStr">
        <is>
          <t>ore</t>
        </is>
      </c>
      <c r="R41" s="79" t="inlineStr">
        <is>
          <t>2601</t>
        </is>
      </c>
      <c r="S41" s="79" t="inlineStr">
        <is>
          <t>operator</t>
        </is>
      </c>
      <c r="T41" s="79" t="n">
        <v>1</v>
      </c>
      <c r="U41" s="79" t="inlineStr">
        <is>
          <t>https://www.sec.gov/cgi-bin/browse-edgar?action=getcompany&amp;CIK=0000917851&amp;type=20-F</t>
        </is>
      </c>
      <c r="V41" s="79" t="inlineStr">
        <is>
          <t>Southeastern System / Iron Quadrangle. 10,428 ha. 2 mines + 2 major beneficiation plants + 1 secondary plant. Itabirite ore (35-60% Fe). Sand treatment + logistic structures on-site. Logistics: EFVM railroad → Tubarão port. | FY2025 RESERVES TABLE: Reserves FY2025: 1,688.9 Mt P+P @ 46.0% Fe — +40% vs 2024 (1,203.3 Mt) from +332 Mt Serra do Tamanduá orebody (model extension) + +101 Mt Brucutu design review, offset by -37 Mt depletion. PROJECTED EXHAUSTION 2062 (+5 yrs vs 2024). Includes Brucutu + Morro Agudo + Apolo project. *** VALE 20-F Sec 1.1.2: 30.2 Mt FY25 (up from 23.3 Mt FY24, 22.1 Mt FY23). Process recovery 61.2%. Southeastern System.</t>
        </is>
      </c>
      <c r="W41" s="79" t="n">
        <v>1994</v>
      </c>
      <c r="X41" s="79" t="inlineStr">
        <is>
          <t>open_pit</t>
        </is>
      </c>
      <c r="Y41" s="79" t="n">
        <v>0.612</v>
      </c>
      <c r="Z41" s="79" t="n">
        <v>2062</v>
      </c>
      <c r="AA41" s="79" t="inlineStr">
        <is>
          <t>Itabirite ore (35-60% Fe) concentrated. Steel-grade product for Asian + European blast furnaces. NOT battery-grade.</t>
        </is>
      </c>
    </row>
    <row r="42" ht="15.75" customHeight="1" s="74">
      <c r="A42" s="79" t="inlineStr">
        <is>
          <t>Vale S.A.</t>
        </is>
      </c>
      <c r="B42" s="79" t="inlineStr">
        <is>
          <t>BR</t>
        </is>
      </c>
      <c r="C42" s="79" t="inlineStr">
        <is>
          <t>Mariana Complex</t>
        </is>
      </c>
      <c r="D42" s="79" t="inlineStr">
        <is>
          <t>mine</t>
        </is>
      </c>
      <c r="E42" s="79" t="inlineStr">
        <is>
          <t>BR</t>
        </is>
      </c>
      <c r="F42" s="79" t="inlineStr">
        <is>
          <t>Minas Gerais</t>
        </is>
      </c>
      <c r="G42" s="79" t="inlineStr">
        <is>
          <t>Mariana</t>
        </is>
      </c>
      <c r="H42" s="79" t="n">
        <v>-20.38</v>
      </c>
      <c r="I42" s="79" t="n">
        <v>-43.42</v>
      </c>
      <c r="J42" s="79" t="inlineStr">
        <is>
          <t>operating</t>
        </is>
      </c>
      <c r="K42" s="79" t="inlineStr">
        <is>
          <t>Iron Ore</t>
        </is>
      </c>
      <c r="L42" s="56" t="n"/>
      <c r="M42" s="56" t="n"/>
      <c r="N42" s="79" t="n">
        <v>28.4</v>
      </c>
      <c r="O42" s="79" t="inlineStr">
        <is>
          <t>mt/yr</t>
        </is>
      </c>
      <c r="P42" s="79" t="inlineStr">
        <is>
          <t>TRUE</t>
        </is>
      </c>
      <c r="Q42" s="79" t="inlineStr">
        <is>
          <t>intermediate</t>
        </is>
      </c>
      <c r="R42" s="79" t="inlineStr">
        <is>
          <t>2601</t>
        </is>
      </c>
      <c r="S42" s="79" t="inlineStr">
        <is>
          <t>operator</t>
        </is>
      </c>
      <c r="T42" s="79" t="n">
        <v>1</v>
      </c>
      <c r="U42" s="79" t="inlineStr">
        <is>
          <t>https://www.sec.gov/cgi-bin/browse-edgar?action=getcompany&amp;CIK=0000917851&amp;type=20-F</t>
        </is>
      </c>
      <c r="V42" s="79" t="inlineStr">
        <is>
          <t>Southeastern System / Iron Quadrangle. 9,687 ha. 4 mines + 4 major beneficiation plants. Itabirite (35-60% Fe). Mariana municipality is also home to Samarco Germano mine (separate JV with BHP). Logistics: EFVM railroad → Tubarão port. | FY2025 RESERVES TABLE: Reserves FY2025: 727.6 Mt P+P @ 53.0% Fe (-28 Mt vs 2024 from depletion). PROJECTED EXHAUSTION 2054 (UNCHANGED). Includes Alegria + Fábrica Nova + Fazendão + Capanema mines. *** VALE 20-F Sec 1.1.2: 28.4 Mt FY25 (up from 24.9 Mt FY24, 25.7 Mt FY23). Process recovery 86.2%. Southeastern System. [STAGE FIX 2026-07-10: ore-&gt;intermediate - output is LiCl (2827.39, intermediate node).]</t>
        </is>
      </c>
      <c r="W42" s="79" t="n">
        <v>1976</v>
      </c>
      <c r="X42" s="79" t="inlineStr">
        <is>
          <t>open_pit</t>
        </is>
      </c>
      <c r="Y42" s="79" t="n">
        <v>0.862</v>
      </c>
      <c r="Z42" s="79" t="n">
        <v>2054</v>
      </c>
      <c r="AA42" s="79" t="inlineStr">
        <is>
          <t>Itabirite ore (35-60% Fe) concentrated. Steel-grade fines + lump for steelmaking. NOT battery-grade. Note: same municipality as Samarco Germano (separate JV — produces DR-grade steelmaking pellets for green steel).</t>
        </is>
      </c>
    </row>
    <row r="43" ht="70" customHeight="1" s="74">
      <c r="A43" s="79" t="inlineStr">
        <is>
          <t>Vale S.A.</t>
        </is>
      </c>
      <c r="B43" s="79" t="inlineStr">
        <is>
          <t>BR</t>
        </is>
      </c>
      <c r="C43" s="79" t="inlineStr">
        <is>
          <t>Vargem Grande Complex</t>
        </is>
      </c>
      <c r="D43" s="79" t="inlineStr">
        <is>
          <t>mine</t>
        </is>
      </c>
      <c r="E43" s="79" t="inlineStr">
        <is>
          <t>BR</t>
        </is>
      </c>
      <c r="F43" s="79" t="inlineStr">
        <is>
          <t>Minas Gerais</t>
        </is>
      </c>
      <c r="G43" s="56" t="inlineStr">
        <is>
          <t>Sudbury</t>
        </is>
      </c>
      <c r="H43" s="56" t="n">
        <v>46.49</v>
      </c>
      <c r="I43" s="56" t="n">
        <v>-80.98999999999999</v>
      </c>
      <c r="J43" s="79" t="inlineStr">
        <is>
          <t>operating</t>
        </is>
      </c>
      <c r="K43" s="79" t="inlineStr">
        <is>
          <t>Iron Ore</t>
        </is>
      </c>
      <c r="L43" s="56" t="n"/>
      <c r="M43" s="56" t="n"/>
      <c r="N43" s="79" t="n">
        <v>36</v>
      </c>
      <c r="O43" s="79" t="inlineStr">
        <is>
          <t>mt/yr</t>
        </is>
      </c>
      <c r="P43" s="79" t="inlineStr">
        <is>
          <t>TRUE</t>
        </is>
      </c>
      <c r="Q43" s="79" t="inlineStr">
        <is>
          <t>ore</t>
        </is>
      </c>
      <c r="R43" s="79" t="inlineStr">
        <is>
          <t>2601</t>
        </is>
      </c>
      <c r="S43" s="79" t="inlineStr">
        <is>
          <t>operator</t>
        </is>
      </c>
      <c r="T43" s="79" t="n">
        <v>1</v>
      </c>
      <c r="U43" s="79" t="inlineStr">
        <is>
          <t>https://www.sec.gov/cgi-bin/browse-edgar?action=getcompany&amp;CIK=0000917851&amp;type=20-F</t>
        </is>
      </c>
      <c r="V43" s="79" t="inlineStr">
        <is>
          <t>Southern System / Iron Quadrangle. 5 mines + 5 major beneficiation plants. Logistics: → Guaíba Island Terminal + Sepetiba Port (Rio de Janeiro state). | FY2025 RESERVES TABLE: Reserves FY2025: 3,928.2 Mt P+P @ 43.5% Fe (+245 Mt vs 2024 = +6.7%, from +286 Mt new exploration data + model updates, -41 Mt depletion). PROJECTED EXHAUSTION 2129 (DECREASE -20 yrs vs 2024). Includes Sapecado + Galinheiro + Tamanduá + Horizontes + Abóboras mines. *** VALE 20-F Sec 1.1.2: 36.0 Mt FY25 (up from 33.7 Mt FY24, down from 36.7 Mt FY23). Process recovery 70.3%. Southern System.</t>
        </is>
      </c>
      <c r="W43" s="2" t="n"/>
      <c r="X43" s="79" t="inlineStr">
        <is>
          <t>open_pit</t>
        </is>
      </c>
      <c r="Y43" s="79" t="n">
        <v>0.703</v>
      </c>
      <c r="Z43" s="79" t="n">
        <v>2129</v>
      </c>
      <c r="AA43" s="79" t="inlineStr">
        <is>
          <t>Steel-grade fines + lump for blast-furnace steelmaking, primarily Chinese + European mills. NOT battery-grade.</t>
        </is>
      </c>
    </row>
    <row r="44" ht="250" customHeight="1" s="74">
      <c r="A44" s="79" t="inlineStr">
        <is>
          <t>Vale S.A.</t>
        </is>
      </c>
      <c r="B44" s="79" t="inlineStr">
        <is>
          <t>BR</t>
        </is>
      </c>
      <c r="C44" s="79" t="inlineStr">
        <is>
          <t>Paraopeba Complex</t>
        </is>
      </c>
      <c r="D44" s="79" t="inlineStr">
        <is>
          <t>mine</t>
        </is>
      </c>
      <c r="E44" s="79" t="inlineStr">
        <is>
          <t>BR</t>
        </is>
      </c>
      <c r="F44" s="79" t="inlineStr">
        <is>
          <t>Minas Gerais</t>
        </is>
      </c>
      <c r="G44" s="56" t="inlineStr">
        <is>
          <t>Baotou</t>
        </is>
      </c>
      <c r="H44" s="56" t="n">
        <v>41.8</v>
      </c>
      <c r="I44" s="56" t="n">
        <v>109.98</v>
      </c>
      <c r="J44" s="79" t="inlineStr">
        <is>
          <t>operating</t>
        </is>
      </c>
      <c r="K44" s="79" t="inlineStr">
        <is>
          <t>Iron Ore</t>
        </is>
      </c>
      <c r="L44" s="48" t="n">
        <v>270000</v>
      </c>
      <c r="M44" s="56" t="inlineStr">
        <is>
          <t>t/yr</t>
        </is>
      </c>
      <c r="N44" s="79" t="n">
        <v>15</v>
      </c>
      <c r="O44" s="79" t="inlineStr">
        <is>
          <t>mt/yr</t>
        </is>
      </c>
      <c r="P44" s="79" t="inlineStr">
        <is>
          <t>TRUE</t>
        </is>
      </c>
      <c r="Q44" s="79" t="inlineStr">
        <is>
          <t>ore</t>
        </is>
      </c>
      <c r="R44" s="79" t="inlineStr">
        <is>
          <t>2601</t>
        </is>
      </c>
      <c r="S44" s="79" t="inlineStr">
        <is>
          <t>operator</t>
        </is>
      </c>
      <c r="T44" s="79" t="n">
        <v>1</v>
      </c>
      <c r="U44" s="79" t="inlineStr">
        <is>
          <t>https://www.sec.gov/cgi-bin/browse-edgar?action=getcompany&amp;CIK=0000917851&amp;type=20-F</t>
        </is>
      </c>
      <c r="V44" s="79" t="inlineStr">
        <is>
          <t>Southern System / Iron Quadrangle. 5 mines + 3 major beneficiation plants. *** Includes the former Córrego do Feijão mine — site of the 2019 Brumadinho dam failure (270 fatalities, R$37.7B Judicial Settlement). *** Production GROWING: 11.5 (2023) → 14.5 (2024) → 15.0 (2025). Logistics: → Guaíba Island + Sepetiba Port. Multiple historic dam de-characterization activities at this complex. | FY2025 RESERVES TABLE: *** RESERVES EXTENSION FY2025: 526.9 Mt P+P @ 47.7% Fe — +166 Mt vs 2024 (360.9 Mt) from +175 Mt João Pereira + Segredo (now includes friable Itabirite). *** *** PROJECTED EXHAUSTION 2068 — EXTENDED +23 YEARS vs 2024 estimate of 2045. *** Includes former Córrego do Feijão (Brumadinho site). *** VALE 20-F Sec 1.1.2: 15.0 Mt FY25 (up from 14.5 Mt FY24, 11.5 Mt FY23). Process recovery 80.0%. Southern System.</t>
        </is>
      </c>
      <c r="W44" s="2" t="n"/>
      <c r="X44" s="79" t="inlineStr">
        <is>
          <t>open_pit</t>
        </is>
      </c>
      <c r="Y44" s="79" t="n">
        <v>0.8</v>
      </c>
      <c r="Z44" s="79" t="n">
        <v>2068</v>
      </c>
      <c r="AA44" s="79" t="inlineStr">
        <is>
          <t>Steel-grade fines + lump for blast-furnace steelmaking. NOT battery-grade. Brumadinho legacy operational risk.</t>
        </is>
      </c>
    </row>
    <row r="45" ht="70" customHeight="1" s="74">
      <c r="A45" s="56" t="inlineStr">
        <is>
          <t>ElementUSA</t>
        </is>
      </c>
      <c r="B45" s="56" t="inlineStr">
        <is>
          <t>US</t>
        </is>
      </c>
      <c r="C45" s="56" t="inlineStr">
        <is>
          <t>St. John Parish Refining Facility</t>
        </is>
      </c>
      <c r="D45" s="56" t="inlineStr">
        <is>
          <t>refinery</t>
        </is>
      </c>
      <c r="E45" s="56" t="inlineStr">
        <is>
          <t>US</t>
        </is>
      </c>
      <c r="F45" s="56" t="inlineStr">
        <is>
          <t>LA</t>
        </is>
      </c>
      <c r="G45" s="56" t="inlineStr">
        <is>
          <t>St. John Parish</t>
        </is>
      </c>
      <c r="H45" s="56" t="n">
        <v>30.05</v>
      </c>
      <c r="I45" s="56" t="n">
        <v>-90.47</v>
      </c>
      <c r="J45" s="56" t="inlineStr">
        <is>
          <t>planned</t>
        </is>
      </c>
      <c r="K45" s="56" t="inlineStr">
        <is>
          <t>Gallium</t>
        </is>
      </c>
      <c r="L45" s="56" t="n"/>
      <c r="M45" s="56" t="n"/>
      <c r="N45" s="56" t="n"/>
      <c r="O45" s="56" t="n"/>
      <c r="P45" s="56" t="b">
        <v>1</v>
      </c>
      <c r="Q45" s="56" t="inlineStr">
        <is>
          <t>refined</t>
        </is>
      </c>
      <c r="R45" s="56" t="inlineStr">
        <is>
          <t>8112.92</t>
        </is>
      </c>
      <c r="S45" s="56" t="inlineStr">
        <is>
          <t>operator</t>
        </is>
      </c>
      <c r="T45" s="56" t="n">
        <v>1</v>
      </c>
      <c r="U45" s="56" t="inlineStr">
        <is>
          <t>Louisiana Economic Development; U.S. Department of Defense award announcement</t>
        </is>
      </c>
      <c r="V45" s="25" t="inlineStr">
        <is>
          <t>[HS BACKFILL 2026-07-10: 8112.92 - unwrought gallium (refined); from product_end_use/name evidence, H6+mapping-table verified.]</t>
        </is>
      </c>
      <c r="W45" s="2" t="n"/>
      <c r="X45" s="2" t="n"/>
      <c r="Y45" s="2" t="n"/>
      <c r="Z45" s="2" t="n"/>
      <c r="AA45" s="0" t="inlineStr">
        <is>
          <t>Semiconductors: GaN/GaAs (power electronics, RF, LEDs); defense-critical. [Backfilled 2026-07-07: commodity-level end-use, not per-facility disclosure]</t>
        </is>
      </c>
    </row>
    <row r="46" ht="70" customHeight="1" s="74">
      <c r="A46" s="56" t="inlineStr">
        <is>
          <t>China Northern Rare Earth (Group) High‑Tech Co., Ltd.</t>
        </is>
      </c>
      <c r="B46" s="56" t="inlineStr">
        <is>
          <t>CN</t>
        </is>
      </c>
      <c r="C46" s="56" t="inlineStr">
        <is>
          <t>Baotou RE Separation Plant</t>
        </is>
      </c>
      <c r="D46" s="56" t="inlineStr">
        <is>
          <t>processing</t>
        </is>
      </c>
      <c r="E46" s="56" t="inlineStr">
        <is>
          <t>CN</t>
        </is>
      </c>
      <c r="F46" s="56" t="inlineStr">
        <is>
          <t>Inner Mongolia</t>
        </is>
      </c>
      <c r="G46" s="56" t="inlineStr">
        <is>
          <t>Baotou</t>
        </is>
      </c>
      <c r="H46" s="56" t="n">
        <v>40.65</v>
      </c>
      <c r="I46" s="56" t="n">
        <v>109.84</v>
      </c>
      <c r="J46" s="56" t="inlineStr">
        <is>
          <t>operating</t>
        </is>
      </c>
      <c r="K46" s="56" t="inlineStr">
        <is>
          <t>Neodymium</t>
        </is>
      </c>
      <c r="L46" s="56" t="n"/>
      <c r="M46" s="56" t="n"/>
      <c r="N46" s="56" t="n"/>
      <c r="O46" s="56" t="n"/>
      <c r="P46" s="56" t="b">
        <v>1</v>
      </c>
      <c r="Q46" s="56" t="inlineStr">
        <is>
          <t>refined</t>
        </is>
      </c>
      <c r="R46" s="56" t="inlineStr">
        <is>
          <t>2846.90</t>
        </is>
      </c>
      <c r="S46" s="56" t="inlineStr">
        <is>
          <t>operator</t>
        </is>
      </c>
      <c r="T46" s="56" t="n"/>
      <c r="U46" s="56" t="inlineStr">
        <is>
          <t>Global Times; China Daily</t>
        </is>
      </c>
      <c r="V46" s="56" t="inlineStr">
        <is>
          <t>[Product: Neodymium oxide → HS 2846.90 (HIGH)]  [OWNERSHIP FIX 2026-07-10: pct was free text 'Majority state‑owned' -&gt; blank; ownership_type retained.]</t>
        </is>
      </c>
      <c r="W46" s="2" t="n"/>
      <c r="X46" s="2" t="n"/>
      <c r="Y46" s="2" t="n"/>
      <c r="Z46" s="2" t="n"/>
      <c r="AA46" s="0" t="inlineStr">
        <is>
          <t>NdFeB permanent magnet alloy (xEV traction motors, wind generators, robotics, defense, electronics). [Backfilled 2026-07-07: commodity-level end-use, not per-facility disclosure]</t>
        </is>
      </c>
    </row>
    <row r="47" ht="70" customHeight="1" s="74">
      <c r="A47" s="56" t="inlineStr">
        <is>
          <t>China Northern Rare Earth (Group) High‑Tech Co., Ltd.</t>
        </is>
      </c>
      <c r="B47" s="56" t="inlineStr">
        <is>
          <t>CN</t>
        </is>
      </c>
      <c r="C47" s="56" t="inlineStr">
        <is>
          <t>Baotou RE Separation Plant</t>
        </is>
      </c>
      <c r="D47" s="56" t="inlineStr">
        <is>
          <t>processing</t>
        </is>
      </c>
      <c r="E47" s="56" t="inlineStr">
        <is>
          <t>CN</t>
        </is>
      </c>
      <c r="F47" s="56" t="inlineStr">
        <is>
          <t>Inner Mongolia</t>
        </is>
      </c>
      <c r="G47" s="56" t="inlineStr">
        <is>
          <t>Baotou</t>
        </is>
      </c>
      <c r="H47" s="56" t="n">
        <v>40.65</v>
      </c>
      <c r="I47" s="56" t="n">
        <v>109.84</v>
      </c>
      <c r="J47" s="56" t="inlineStr">
        <is>
          <t>operating</t>
        </is>
      </c>
      <c r="K47" s="56" t="inlineStr">
        <is>
          <t>Praseodymium</t>
        </is>
      </c>
      <c r="L47" s="56" t="n"/>
      <c r="M47" s="56" t="n"/>
      <c r="N47" s="56" t="n"/>
      <c r="O47" s="56" t="n"/>
      <c r="P47" s="56" t="b">
        <v>1</v>
      </c>
      <c r="Q47" s="56" t="inlineStr">
        <is>
          <t>refined</t>
        </is>
      </c>
      <c r="R47" s="56" t="inlineStr">
        <is>
          <t>2846.90</t>
        </is>
      </c>
      <c r="S47" s="56" t="inlineStr">
        <is>
          <t>operator</t>
        </is>
      </c>
      <c r="T47" s="56" t="n"/>
      <c r="U47" s="56" t="inlineStr">
        <is>
          <t>Global Times; China Daily</t>
        </is>
      </c>
      <c r="V47" s="56" t="inlineStr">
        <is>
          <t>[Product: Praseodymium oxide → HS 2846.90 (HIGH)]  [OWNERSHIP FIX 2026-07-10: pct was free text 'Majority state‑owned' -&gt; blank; ownership_type retained.]</t>
        </is>
      </c>
      <c r="W47" s="2" t="n"/>
      <c r="X47" s="2" t="n"/>
      <c r="Y47" s="2" t="n"/>
      <c r="Z47" s="2" t="n"/>
      <c r="AA47" s="0" t="inlineStr">
        <is>
          <t>NdPr magnet alloy component (NdFeB magnets for xEV motors, wind, defense). [Backfilled 2026-07-07: commodity-level end-use, not per-facility disclosure]</t>
        </is>
      </c>
    </row>
    <row r="48" ht="70" customHeight="1" s="74">
      <c r="A48" s="56" t="inlineStr">
        <is>
          <t>China Northern Rare Earth (Group) High‑Tech Co., Ltd.</t>
        </is>
      </c>
      <c r="B48" s="56" t="inlineStr">
        <is>
          <t>CN</t>
        </is>
      </c>
      <c r="C48" s="56" t="inlineStr">
        <is>
          <t>Baotou Rare Earth Refining Base</t>
        </is>
      </c>
      <c r="D48" s="56" t="inlineStr">
        <is>
          <t>refinery</t>
        </is>
      </c>
      <c r="E48" s="56" t="inlineStr">
        <is>
          <t>CN</t>
        </is>
      </c>
      <c r="F48" s="56" t="inlineStr">
        <is>
          <t>Inner Mongolia</t>
        </is>
      </c>
      <c r="G48" s="56" t="inlineStr">
        <is>
          <t>Baotou</t>
        </is>
      </c>
      <c r="H48" s="56" t="n">
        <v>40.65</v>
      </c>
      <c r="I48" s="56" t="n">
        <v>109.84</v>
      </c>
      <c r="J48" s="56" t="inlineStr">
        <is>
          <t>operating</t>
        </is>
      </c>
      <c r="K48" s="56" t="inlineStr">
        <is>
          <t>Rare Earth Elements</t>
        </is>
      </c>
      <c r="L48" s="56" t="n"/>
      <c r="M48" s="56" t="n"/>
      <c r="N48" s="56" t="n"/>
      <c r="O48" s="56" t="n"/>
      <c r="P48" s="56" t="b">
        <v>1</v>
      </c>
      <c r="Q48" s="56" t="inlineStr">
        <is>
          <t>intermediate</t>
        </is>
      </c>
      <c r="R48" s="56" t="inlineStr">
        <is>
          <t>2846.90</t>
        </is>
      </c>
      <c r="S48" s="56" t="inlineStr">
        <is>
          <t>operator</t>
        </is>
      </c>
      <c r="T48" s="56" t="n"/>
      <c r="U48" s="56" t="inlineStr">
        <is>
          <t>China Daily; Global Times</t>
        </is>
      </c>
      <c r="V48" s="56" t="inlineStr">
        <is>
          <t>[Product: Mixed light rare earth oxides → HS 2846.90 (HIGH)]  [OWNERSHIP FIX 2026-07-10: pct was free text 'Majority state‑owned' -&gt; blank; ownership_type retained.]</t>
        </is>
      </c>
      <c r="W48" s="2" t="n"/>
      <c r="X48" s="2" t="n"/>
      <c r="Y48" s="2" t="n"/>
      <c r="Z48" s="2" t="n"/>
      <c r="AA48" s="0" t="inlineStr">
        <is>
          <t>NdPr -&gt; NdFeB permanent magnets (xEV traction motors, wind, robotics, defense, electronics); Ce/La -&gt; catalysts, phosphors, polishing, glass; SEG/HREE -&gt; magnet additives (Tb/Dy) and SmCo. [Backfilled 2026-07-07: commodity-level end-use, not per-facility disclosure]</t>
        </is>
      </c>
    </row>
    <row r="49" ht="70" customHeight="1" s="74">
      <c r="A49" s="56" t="inlineStr">
        <is>
          <t>China Northern Rare Earth (Group) High‑Tech Co., Ltd.</t>
        </is>
      </c>
      <c r="B49" s="56" t="inlineStr">
        <is>
          <t>CN</t>
        </is>
      </c>
      <c r="C49" s="56" t="inlineStr">
        <is>
          <t>Baotou RE Metals &amp; Alloys Plant</t>
        </is>
      </c>
      <c r="D49" s="56" t="inlineStr">
        <is>
          <t>processing</t>
        </is>
      </c>
      <c r="E49" s="56" t="inlineStr">
        <is>
          <t>CN</t>
        </is>
      </c>
      <c r="F49" s="56" t="inlineStr">
        <is>
          <t>Inner Mongolia</t>
        </is>
      </c>
      <c r="G49" s="56" t="inlineStr">
        <is>
          <t>Baotou</t>
        </is>
      </c>
      <c r="H49" s="56" t="n">
        <v>40.65</v>
      </c>
      <c r="I49" s="56" t="n">
        <v>109.84</v>
      </c>
      <c r="J49" s="56" t="inlineStr">
        <is>
          <t>operating</t>
        </is>
      </c>
      <c r="K49" s="56" t="inlineStr">
        <is>
          <t>Neodymium</t>
        </is>
      </c>
      <c r="L49" s="56" t="n"/>
      <c r="M49" s="56" t="n"/>
      <c r="N49" s="56" t="n"/>
      <c r="O49" s="56" t="n"/>
      <c r="P49" s="56" t="b">
        <v>1</v>
      </c>
      <c r="Q49" s="56" t="inlineStr">
        <is>
          <t>fabricated</t>
        </is>
      </c>
      <c r="R49" s="56" t="inlineStr">
        <is>
          <t>7202.99</t>
        </is>
      </c>
      <c r="S49" s="56" t="inlineStr">
        <is>
          <t>operator</t>
        </is>
      </c>
      <c r="T49" s="56" t="n"/>
      <c r="U49" s="56" t="inlineStr">
        <is>
          <t>Baidu Baike; industry reporting</t>
        </is>
      </c>
      <c r="V49" s="56" t="inlineStr">
        <is>
          <t>[Product: Neodymium‑iron alloy → HS 7202.99 (HIGH)]  [OWNERSHIP FIX 2026-07-10: pct was free text 'Majority state‑owned' -&gt; blank; ownership_type retained.]</t>
        </is>
      </c>
      <c r="W49" s="2" t="n"/>
      <c r="X49" s="2" t="n"/>
      <c r="Y49" s="2" t="n"/>
      <c r="Z49" s="2" t="n"/>
      <c r="AA49" s="0" t="inlineStr">
        <is>
          <t>NdFeB permanent magnet alloy (xEV traction motors, wind generators, robotics, defense, electronics). [Backfilled 2026-07-07: commodity-level end-use, not per-facility disclosure]</t>
        </is>
      </c>
    </row>
    <row r="50" ht="70" customHeight="1" s="74">
      <c r="A50" s="56" t="inlineStr">
        <is>
          <t>China Northern Rare Earth (Group) High‑Tech Co., Ltd.</t>
        </is>
      </c>
      <c r="B50" s="56" t="inlineStr">
        <is>
          <t>CN</t>
        </is>
      </c>
      <c r="C50" s="56" t="inlineStr">
        <is>
          <t>Baotou Magnet Materials Facility</t>
        </is>
      </c>
      <c r="D50" s="56" t="inlineStr">
        <is>
          <t>processing</t>
        </is>
      </c>
      <c r="E50" s="56" t="inlineStr">
        <is>
          <t>CN</t>
        </is>
      </c>
      <c r="F50" s="56" t="inlineStr">
        <is>
          <t>Inner Mongolia</t>
        </is>
      </c>
      <c r="G50" s="56" t="inlineStr">
        <is>
          <t>Baotou</t>
        </is>
      </c>
      <c r="H50" s="56" t="n">
        <v>40.65</v>
      </c>
      <c r="I50" s="56" t="n">
        <v>109.84</v>
      </c>
      <c r="J50" s="56" t="inlineStr">
        <is>
          <t>operating</t>
        </is>
      </c>
      <c r="K50" s="56" t="inlineStr">
        <is>
          <t>Neodymium</t>
        </is>
      </c>
      <c r="L50" s="56" t="n"/>
      <c r="M50" s="56" t="n"/>
      <c r="N50" s="56" t="n"/>
      <c r="O50" s="56" t="n"/>
      <c r="P50" s="56" t="b">
        <v>1</v>
      </c>
      <c r="Q50" s="56" t="inlineStr">
        <is>
          <t>fabricated</t>
        </is>
      </c>
      <c r="R50" s="56" t="inlineStr">
        <is>
          <t>8505.11</t>
        </is>
      </c>
      <c r="S50" s="56" t="inlineStr">
        <is>
          <t>operator</t>
        </is>
      </c>
      <c r="T50" s="56" t="n"/>
      <c r="U50" s="56" t="inlineStr">
        <is>
          <t>Industry reporting; Baidu Baike</t>
        </is>
      </c>
      <c r="V50" s="56" t="inlineStr">
        <is>
          <t>[Product: NdFeB magnet material → HS 8505.11 (MEDIUM)]  [OWNERSHIP FIX 2026-07-10: pct was free text 'Majority state‑owned' -&gt; blank; ownership_type retained.]</t>
        </is>
      </c>
      <c r="W50" s="2" t="n"/>
      <c r="X50" s="2" t="n"/>
      <c r="Y50" s="2" t="n"/>
      <c r="Z50" s="2" t="n"/>
      <c r="AA50" s="0" t="inlineStr">
        <is>
          <t>NdFeB permanent magnet alloy (xEV traction motors, wind generators, robotics, defense, electronics). [Backfilled 2026-07-07: commodity-level end-use, not per-facility disclosure]</t>
        </is>
      </c>
    </row>
    <row r="51" ht="70" customHeight="1" s="74">
      <c r="A51" s="56" t="inlineStr">
        <is>
          <t>Syrah Resources Ltd</t>
        </is>
      </c>
      <c r="B51" s="56" t="inlineStr">
        <is>
          <t>AU</t>
        </is>
      </c>
      <c r="C51" s="56" t="inlineStr">
        <is>
          <t>Balama Graphite Operation</t>
        </is>
      </c>
      <c r="D51" s="56" t="inlineStr">
        <is>
          <t>mine</t>
        </is>
      </c>
      <c r="E51" s="56" t="inlineStr">
        <is>
          <t>MZ</t>
        </is>
      </c>
      <c r="F51" s="56" t="inlineStr">
        <is>
          <t>Cabo Delgado</t>
        </is>
      </c>
      <c r="G51" s="56" t="inlineStr">
        <is>
          <t>Balama</t>
        </is>
      </c>
      <c r="H51" s="56" t="n">
        <v>-12.84</v>
      </c>
      <c r="I51" s="56" t="n">
        <v>38.5</v>
      </c>
      <c r="J51" s="56" t="inlineStr">
        <is>
          <t>operating</t>
        </is>
      </c>
      <c r="K51" s="56" t="inlineStr">
        <is>
          <t>Natural Graphite</t>
        </is>
      </c>
      <c r="L51" s="41" t="n">
        <v>350000</v>
      </c>
      <c r="M51" s="56" t="inlineStr">
        <is>
          <t>t/yr</t>
        </is>
      </c>
      <c r="N51" s="56" t="n">
        <v>67000</v>
      </c>
      <c r="O51" s="56" t="inlineStr">
        <is>
          <t>t/yr (FY2025, ~sum of quarterlies; zero H1 on force majeure; Q1-2026 24kt)</t>
        </is>
      </c>
      <c r="P51" s="56" t="b">
        <v>1</v>
      </c>
      <c r="Q51" s="56" t="inlineStr">
        <is>
          <t>ore</t>
        </is>
      </c>
      <c r="R51" s="56" t="inlineStr">
        <is>
          <t>2504.10</t>
        </is>
      </c>
      <c r="S51" s="56" t="inlineStr">
        <is>
          <t>operator</t>
        </is>
      </c>
      <c r="T51" s="56" t="n">
        <v>1</v>
      </c>
      <c r="U51" s="56" t="inlineStr">
        <is>
          <t>Mining</t>
        </is>
      </c>
      <c r="V51" s="56" t="inlineStr">
        <is>
          <t>[Product: Graphite → HS 2504.10 (MEDIUM)]  [AR 2025 2026-07-08]: RESERVES (JORC, 7.2% TGC cutoff, eff. 31-Dec-25): 109.6Mt @ 16.3% TGC = 17.8Mt contained graphite, ALL Probable (Ativa 16.5Mt@18.4%, Mualia 37.7@17.6%, Mepiche 53.4@14.9%, stockpiles 1.9). Restart Jun 2025 post protests (Sep 2024-)/force majeure (declared Dec 2024); campaign operations. IRMA 50; GISTM-aligned. Vanadium project optionality. NextSource offtake up to 68kt/7yrs (Mar 2026). [capacity detail: t natural graphite/yr nameplate]</t>
        </is>
      </c>
      <c r="W51" s="2" t="n"/>
      <c r="X51" s="2" t="n"/>
      <c r="Y51" s="2" t="n"/>
      <c r="Z51" s="2" t="n"/>
      <c r="AA51" s="0" t="inlineStr">
        <is>
          <t>Li-ion battery anodes (spherical purified/coated graphite = key growth market); refractories, foundry, lubricants. [Backfilled 2026-07-07: commodity-level end-use, not per-facility disclosure]</t>
        </is>
      </c>
    </row>
    <row r="52" ht="70" customHeight="1" s="74">
      <c r="A52" s="56" t="inlineStr">
        <is>
          <t>Syrah Resources Ltd</t>
        </is>
      </c>
      <c r="B52" s="56" t="inlineStr">
        <is>
          <t>AU</t>
        </is>
      </c>
      <c r="C52" s="56" t="inlineStr">
        <is>
          <t>Vidalia Active Anode Material Facility</t>
        </is>
      </c>
      <c r="D52" s="56" t="inlineStr">
        <is>
          <t>processing</t>
        </is>
      </c>
      <c r="E52" s="56" t="inlineStr">
        <is>
          <t>US</t>
        </is>
      </c>
      <c r="F52" s="56" t="inlineStr">
        <is>
          <t>Louisiana</t>
        </is>
      </c>
      <c r="G52" s="56" t="inlineStr">
        <is>
          <t>Vidalia</t>
        </is>
      </c>
      <c r="H52" s="56" t="n">
        <v>31.56</v>
      </c>
      <c r="I52" s="56" t="n">
        <v>-91.40000000000001</v>
      </c>
      <c r="J52" s="56" t="inlineStr">
        <is>
          <t>operating</t>
        </is>
      </c>
      <c r="K52" s="56" t="inlineStr">
        <is>
          <t>Natural Graphite</t>
        </is>
      </c>
      <c r="L52" s="25" t="n">
        <v>11250</v>
      </c>
      <c r="M52" s="56" t="inlineStr">
        <is>
          <t>t/yr</t>
        </is>
      </c>
      <c r="N52" s="56" t="n">
        <v>618</v>
      </c>
      <c r="O52" s="56" t="inlineStr">
        <is>
          <t>t AAM FY2025 (customer qualification only; commercial sales pending)</t>
        </is>
      </c>
      <c r="P52" s="56" t="b">
        <v>1</v>
      </c>
      <c r="Q52" s="56" t="inlineStr">
        <is>
          <t>battery_grade</t>
        </is>
      </c>
      <c r="R52" s="56" t="inlineStr">
        <is>
          <t>3801.10</t>
        </is>
      </c>
      <c r="S52" s="56" t="inlineStr">
        <is>
          <t>operator</t>
        </is>
      </c>
      <c r="T52" s="56" t="n">
        <v>1</v>
      </c>
      <c r="U52" s="56" t="inlineStr">
        <is>
          <t>Shaping, coating, thermal treatment</t>
        </is>
      </c>
      <c r="V52" s="27" t="inlineStr">
        <is>
          <t>[Product: Natural graphite active anode material (AAM) → HS 3801.10 (MEDIUM)]  | *** MERGED FROM ROW 59 (deleted 2026-07-06 per Nicole): Vidalia also produces Purified Spherical Graphite (upstream intermediate) → HS 3801.10 (MEDIUM confidence). Full Row 59 note: [Product: Purified spherical graphite → HS 3801.10 (MEDIUM)]  [AR 2025 2026-07-08]: First US natural-graphite AAM plant. 618t produced FY25 for qualification/inventory; consistently hit targeted quality; commercial sales targeted 2026. $12M 45X PTC received FY25; ~$165M 48C ITC AWARDED for Vidalia Further Expansion. DOE loan (restructured after Balama-triggered defaults). [Impairment note: Vidalia CGU recoverable $502M vs carrying $308M (10.2% discount rate); Further Expansion FID gated on achieving commercial AAM sales; sensitivities disclosed.] [capacity detail: t AAM/yr]</t>
        </is>
      </c>
      <c r="W52" s="2" t="n"/>
      <c r="X52" s="2" t="n"/>
      <c r="Y52" s="2" t="n"/>
      <c r="Z52" s="2" t="n"/>
      <c r="AA52" s="0" t="inlineStr">
        <is>
          <t>Li-ion battery anodes (spherical purified/coated graphite = key growth market); refractories, foundry, lubricants. [Backfilled 2026-07-07: commodity-level end-use, not per-facility disclosure]</t>
        </is>
      </c>
    </row>
    <row r="53" ht="15.75" customHeight="1" s="74">
      <c r="A53" s="56" t="inlineStr">
        <is>
          <t>Iluka Resources Ltd</t>
        </is>
      </c>
      <c r="B53" s="56" t="inlineStr">
        <is>
          <t>AU</t>
        </is>
      </c>
      <c r="C53" s="56" t="inlineStr">
        <is>
          <t>Cataby Mineral Sands Operation</t>
        </is>
      </c>
      <c r="D53" s="56" t="inlineStr">
        <is>
          <t>mine</t>
        </is>
      </c>
      <c r="E53" s="56" t="inlineStr">
        <is>
          <t>AU</t>
        </is>
      </c>
      <c r="F53" s="56" t="inlineStr">
        <is>
          <t>Western Australia</t>
        </is>
      </c>
      <c r="G53" s="56" t="inlineStr">
        <is>
          <t>Cataby</t>
        </is>
      </c>
      <c r="H53" s="56" t="n">
        <v>-30.75</v>
      </c>
      <c r="I53" s="56" t="n">
        <v>115.17</v>
      </c>
      <c r="J53" s="56" t="inlineStr">
        <is>
          <t>mothballed</t>
        </is>
      </c>
      <c r="K53" s="56" t="inlineStr">
        <is>
          <t>Titanium</t>
        </is>
      </c>
      <c r="L53" s="48" t="n">
        <v>559000</v>
      </c>
      <c r="M53" s="56" t="n"/>
      <c r="N53" s="56" t="n"/>
      <c r="O53" s="56" t="n"/>
      <c r="P53" s="56" t="b">
        <v>1</v>
      </c>
      <c r="Q53" s="56" t="inlineStr">
        <is>
          <t>ore</t>
        </is>
      </c>
      <c r="R53" s="56" t="inlineStr">
        <is>
          <t>2614.00</t>
        </is>
      </c>
      <c r="S53" s="56" t="inlineStr">
        <is>
          <t>operator</t>
        </is>
      </c>
      <c r="T53" s="56" t="n">
        <v>1</v>
      </c>
      <c r="U53" s="56" t="inlineStr">
        <is>
          <t>Open‑pit mining</t>
        </is>
      </c>
      <c r="V53" s="56" t="inlineStr">
        <is>
          <t>[Original product: Heavy mineral sands] [Action: Same as HMC]  [MATERIAL LABEL FIX 2026-07-10: was 'Heavy mineral sands' -&gt; 'Titanium'. HMS: ilmenite/rutile/zircon primary (Ti dominant); Iluka battery relevance = REE via monazite (Eneabba) - single-canonical constraint.] [HS BACKFILL 2026-07-10: 2614.00 - ilmenite/rutile/HMS (Ti ores); from product_end_use/name evidence, H6+mapping-table verified.]</t>
        </is>
      </c>
      <c r="W53" s="2" t="n"/>
      <c r="X53" s="2" t="n"/>
      <c r="Y53" s="2" t="n"/>
      <c r="Z53" s="2" t="n"/>
      <c r="AA53" s="0" t="inlineStr">
        <is>
          <t>Zircon -&gt; ceramics/foundry/chemicals; ilmenite/rutile -&gt; TiO2 pigment + titanium metal (aerospace); monazite by-product -&gt; REE feedstock. [Backfilled 2026-07-07: commodity-level end-use, not per-facility disclosure]</t>
        </is>
      </c>
    </row>
    <row r="54" ht="15.75" customHeight="1" s="74">
      <c r="A54" s="56" t="inlineStr">
        <is>
          <t>Iluka Resources Ltd</t>
        </is>
      </c>
      <c r="B54" s="56" t="inlineStr">
        <is>
          <t>AU</t>
        </is>
      </c>
      <c r="C54" s="56" t="inlineStr">
        <is>
          <t>Jacinth‑Ambrosia</t>
        </is>
      </c>
      <c r="D54" s="56" t="inlineStr">
        <is>
          <t>mine</t>
        </is>
      </c>
      <c r="E54" s="56" t="inlineStr">
        <is>
          <t>AU</t>
        </is>
      </c>
      <c r="F54" s="56" t="inlineStr">
        <is>
          <t>South Australia</t>
        </is>
      </c>
      <c r="G54" s="56" t="n"/>
      <c r="H54" s="56" t="n">
        <v>-30.45</v>
      </c>
      <c r="I54" s="56" t="n">
        <v>131.73</v>
      </c>
      <c r="J54" s="56" t="inlineStr">
        <is>
          <t>operating</t>
        </is>
      </c>
      <c r="K54" s="56" t="inlineStr">
        <is>
          <t>Titanium</t>
        </is>
      </c>
      <c r="L54" s="48" t="n">
        <v>295000</v>
      </c>
      <c r="M54" s="56" t="n"/>
      <c r="N54" s="56" t="n"/>
      <c r="O54" s="56" t="n"/>
      <c r="P54" s="56" t="b">
        <v>1</v>
      </c>
      <c r="Q54" s="56" t="inlineStr">
        <is>
          <t>ore</t>
        </is>
      </c>
      <c r="R54" s="56" t="inlineStr">
        <is>
          <t>2614.00</t>
        </is>
      </c>
      <c r="S54" s="56" t="inlineStr">
        <is>
          <t>operator</t>
        </is>
      </c>
      <c r="T54" s="56" t="n">
        <v>1</v>
      </c>
      <c r="U54" s="56" t="inlineStr">
        <is>
          <t>Open‑pit mining</t>
        </is>
      </c>
      <c r="V54" s="56" t="inlineStr">
        <is>
          <t>[Original product: Heavy mineral sands] [Action: Same as HMC]  [MATERIAL LABEL FIX 2026-07-10: was 'Heavy mineral sands' -&gt; 'Titanium'. HMS: ilmenite/rutile/zircon primary (Ti dominant); Iluka battery relevance = REE via monazite (Eneabba) - single-canonical constraint.] [HS BACKFILL 2026-07-10: 2614.00 - ilmenite/rutile/HMS (Ti ores); from product_end_use/name evidence, H6+mapping-table verified.]</t>
        </is>
      </c>
      <c r="W54" s="2" t="n"/>
      <c r="X54" s="2" t="n"/>
      <c r="Y54" s="2" t="n"/>
      <c r="Z54" s="2" t="n"/>
      <c r="AA54" s="0" t="inlineStr">
        <is>
          <t>Zircon -&gt; ceramics/foundry/chemicals; ilmenite/rutile -&gt; TiO2 pigment + titanium metal (aerospace); monazite by-product -&gt; REE feedstock. [Backfilled 2026-07-07: commodity-level end-use, not per-facility disclosure]</t>
        </is>
      </c>
    </row>
    <row r="55" ht="15.75" customHeight="1" s="74">
      <c r="A55" s="56" t="inlineStr">
        <is>
          <t>Iluka Resources Ltd</t>
        </is>
      </c>
      <c r="B55" s="56" t="inlineStr">
        <is>
          <t>AU</t>
        </is>
      </c>
      <c r="C55" s="56" t="inlineStr">
        <is>
          <t>Narngulu Mineral Separation Plant</t>
        </is>
      </c>
      <c r="D55" s="56" t="inlineStr">
        <is>
          <t>processing</t>
        </is>
      </c>
      <c r="E55" s="56" t="inlineStr">
        <is>
          <t>AU</t>
        </is>
      </c>
      <c r="F55" s="56" t="inlineStr">
        <is>
          <t>Western Australia</t>
        </is>
      </c>
      <c r="G55" s="56" t="inlineStr">
        <is>
          <t>Narngulu</t>
        </is>
      </c>
      <c r="H55" s="56" t="n">
        <v>-28.78</v>
      </c>
      <c r="I55" s="56" t="n">
        <v>114.61</v>
      </c>
      <c r="J55" s="56" t="inlineStr">
        <is>
          <t>operating</t>
        </is>
      </c>
      <c r="K55" s="56" t="inlineStr">
        <is>
          <t>Titanium</t>
        </is>
      </c>
      <c r="L55" s="48" t="n">
        <v>559000</v>
      </c>
      <c r="M55" s="56" t="n"/>
      <c r="N55" s="56" t="n"/>
      <c r="O55" s="56" t="n"/>
      <c r="P55" s="56" t="b">
        <v>1</v>
      </c>
      <c r="Q55" s="56" t="inlineStr">
        <is>
          <t>concentrate</t>
        </is>
      </c>
      <c r="R55" s="56" t="inlineStr">
        <is>
          <t>2614.00</t>
        </is>
      </c>
      <c r="S55" s="56" t="inlineStr">
        <is>
          <t>operator</t>
        </is>
      </c>
      <c r="T55" s="56" t="n">
        <v>1</v>
      </c>
      <c r="U55" s="56" t="inlineStr">
        <is>
          <t>Gravity &amp; magnetic separation</t>
        </is>
      </c>
      <c r="V55" s="56" t="inlineStr">
        <is>
          <t>[Original product: Heavy mineral concentrate (HMC)] [Action: HMC = zircon+ilmenite+monazite — split Zr/Ti/REE]  [MATERIAL LABEL FIX 2026-07-10: was 'Heavy mineral concentrate (HMC)' -&gt; 'Titanium'. HMC - same constraint as HMS rows.] [HS BACKFILL 2026-07-10: 2614.00 - ilmenite/rutile/HMS (Ti ores); from product_end_use/name evidence, H6+mapping-table verified.]</t>
        </is>
      </c>
      <c r="W55" s="2" t="n"/>
      <c r="X55" s="2" t="n"/>
      <c r="Y55" s="2" t="n"/>
      <c r="Z55" s="2" t="n"/>
      <c r="AA55" s="0" t="inlineStr">
        <is>
          <t>Separated into zircon (ceramics), ilmenite/rutile (TiO2 pigment, Ti metal), and monazite (REE feedstock). [Backfilled 2026-07-07: commodity-level end-use, not per-facility disclosure]</t>
        </is>
      </c>
    </row>
    <row r="56" ht="15.75" customHeight="1" s="74">
      <c r="A56" s="56" t="inlineStr">
        <is>
          <t>Iluka Resources Ltd</t>
        </is>
      </c>
      <c r="B56" s="56" t="inlineStr">
        <is>
          <t>AU</t>
        </is>
      </c>
      <c r="C56" s="56" t="inlineStr">
        <is>
          <t>Narngulu Mineral Separation Plant</t>
        </is>
      </c>
      <c r="D56" s="56" t="inlineStr">
        <is>
          <t>processing</t>
        </is>
      </c>
      <c r="E56" s="56" t="inlineStr">
        <is>
          <t>AU</t>
        </is>
      </c>
      <c r="F56" s="56" t="inlineStr">
        <is>
          <t>Western Australia</t>
        </is>
      </c>
      <c r="G56" s="56" t="inlineStr">
        <is>
          <t>Narngulu</t>
        </is>
      </c>
      <c r="H56" s="56" t="n">
        <v>-28.78</v>
      </c>
      <c r="I56" s="56" t="n">
        <v>114.61</v>
      </c>
      <c r="J56" s="56" t="inlineStr">
        <is>
          <t>operating</t>
        </is>
      </c>
      <c r="K56" s="56" t="inlineStr">
        <is>
          <t>Zirconium</t>
        </is>
      </c>
      <c r="L56" s="48" t="n">
        <v>270000</v>
      </c>
      <c r="M56" s="56" t="n"/>
      <c r="N56" s="56" t="n"/>
      <c r="O56" s="56" t="n"/>
      <c r="P56" s="56" t="b">
        <v>1</v>
      </c>
      <c r="Q56" s="56" t="inlineStr">
        <is>
          <t>refined</t>
        </is>
      </c>
      <c r="R56" s="56" t="inlineStr">
        <is>
          <t>2615.10</t>
        </is>
      </c>
      <c r="S56" s="56" t="inlineStr">
        <is>
          <t>operator</t>
        </is>
      </c>
      <c r="T56" s="56" t="n">
        <v>1</v>
      </c>
      <c r="U56" s="56" t="inlineStr">
        <is>
          <t>Mineral separation &amp; finishing</t>
        </is>
      </c>
      <c r="V56" s="56" t="inlineStr">
        <is>
          <t xml:space="preserve">[Product: Zircon → HS 2615.10 (HIGH)] </t>
        </is>
      </c>
      <c r="W56" s="2" t="n"/>
      <c r="X56" s="2" t="n"/>
      <c r="Y56" s="2" t="n"/>
      <c r="Z56" s="2" t="n"/>
      <c r="AA56" s="0" t="inlineStr">
        <is>
          <t>Zircon for ceramics/tiles, foundry, zirconia chemicals; nuclear cladding (metal). [Backfilled 2026-07-07: commodity-level end-use, not per-facility disclosure]</t>
        </is>
      </c>
    </row>
    <row r="57" ht="15.75" customHeight="1" s="74">
      <c r="A57" s="56" t="inlineStr">
        <is>
          <t>Iluka Resources Ltd</t>
        </is>
      </c>
      <c r="B57" s="56" t="inlineStr">
        <is>
          <t>AU</t>
        </is>
      </c>
      <c r="C57" s="56" t="inlineStr">
        <is>
          <t>Narngulu / Capel Kilns</t>
        </is>
      </c>
      <c r="D57" s="56" t="inlineStr">
        <is>
          <t>processing</t>
        </is>
      </c>
      <c r="E57" s="56" t="inlineStr">
        <is>
          <t>AU</t>
        </is>
      </c>
      <c r="F57" s="56" t="inlineStr">
        <is>
          <t>Western Australia</t>
        </is>
      </c>
      <c r="G57" s="56" t="inlineStr">
        <is>
          <t>Capel</t>
        </is>
      </c>
      <c r="H57" s="56" t="n">
        <v>-33.55</v>
      </c>
      <c r="I57" s="56" t="n">
        <v>115.56</v>
      </c>
      <c r="J57" s="56" t="inlineStr">
        <is>
          <t>mothballed</t>
        </is>
      </c>
      <c r="K57" s="56" t="inlineStr">
        <is>
          <t>Titanium</t>
        </is>
      </c>
      <c r="L57" s="48" t="n">
        <v>78000</v>
      </c>
      <c r="M57" s="56" t="n"/>
      <c r="N57" s="56" t="n"/>
      <c r="O57" s="56" t="n"/>
      <c r="P57" s="56" t="b">
        <v>1</v>
      </c>
      <c r="Q57" s="56" t="inlineStr">
        <is>
          <t>refined</t>
        </is>
      </c>
      <c r="R57" s="56" t="inlineStr">
        <is>
          <t>2614.00</t>
        </is>
      </c>
      <c r="S57" s="56" t="inlineStr">
        <is>
          <t>operator</t>
        </is>
      </c>
      <c r="T57" s="56" t="n">
        <v>1</v>
      </c>
      <c r="U57" s="56" t="inlineStr">
        <is>
          <t>Upgrading ilmenite</t>
        </is>
      </c>
      <c r="V57" s="56" t="inlineStr">
        <is>
          <t xml:space="preserve">[Product: Synthetic rutile (TiO₂ feedstock) → HS 2614.00 (MEDIUM)] </t>
        </is>
      </c>
      <c r="W57" s="2" t="n"/>
      <c r="X57" s="2" t="n"/>
      <c r="Y57" s="2" t="n"/>
      <c r="Z57" s="2" t="n"/>
      <c r="AA57" s="0" t="inlineStr">
        <is>
          <t>TiO2 pigment (majority); titanium metal for aerospace/defense. [Backfilled 2026-07-07: commodity-level end-use, not per-facility disclosure]</t>
        </is>
      </c>
    </row>
    <row r="58" ht="15.75" customHeight="1" s="74">
      <c r="A58" s="56" t="inlineStr">
        <is>
          <t>Iluka Resources Ltd</t>
        </is>
      </c>
      <c r="B58" s="56" t="inlineStr">
        <is>
          <t>AU</t>
        </is>
      </c>
      <c r="C58" s="56" t="inlineStr">
        <is>
          <t>Eneabba Stockpile &amp; Concentrator</t>
        </is>
      </c>
      <c r="D58" s="51" t="inlineStr">
        <is>
          <t>concentrator</t>
        </is>
      </c>
      <c r="E58" s="56" t="inlineStr">
        <is>
          <t>AU</t>
        </is>
      </c>
      <c r="F58" s="56" t="inlineStr">
        <is>
          <t>Western Australia</t>
        </is>
      </c>
      <c r="G58" s="56" t="inlineStr">
        <is>
          <t>Eneabba</t>
        </is>
      </c>
      <c r="H58" s="56" t="n">
        <v>-29.83</v>
      </c>
      <c r="I58" s="56" t="n">
        <v>115.28</v>
      </c>
      <c r="J58" s="56" t="inlineStr">
        <is>
          <t>operating</t>
        </is>
      </c>
      <c r="K58" s="56" t="inlineStr">
        <is>
          <t>Rare Earth Elements</t>
        </is>
      </c>
      <c r="L58" s="56" t="n"/>
      <c r="M58" s="56" t="n"/>
      <c r="N58" s="56" t="n"/>
      <c r="O58" s="56" t="n"/>
      <c r="P58" s="56" t="b">
        <v>1</v>
      </c>
      <c r="Q58" s="56" t="inlineStr">
        <is>
          <t>concentrate</t>
        </is>
      </c>
      <c r="R58" s="56" t="inlineStr">
        <is>
          <t>2612.20</t>
        </is>
      </c>
      <c r="S58" s="56" t="inlineStr">
        <is>
          <t>operator</t>
        </is>
      </c>
      <c r="T58" s="56" t="n">
        <v>1</v>
      </c>
      <c r="U58" s="56" t="inlineStr">
        <is>
          <t>Screening &amp; concentration</t>
        </is>
      </c>
      <c r="V58" s="56" t="inlineStr">
        <is>
          <t xml:space="preserve">[Product: Monazite concentrate → HS 2612.20 (MEDIUM)] </t>
        </is>
      </c>
      <c r="W58" s="2" t="n"/>
      <c r="X58" s="2" t="n"/>
      <c r="Y58" s="2" t="n"/>
      <c r="Z58" s="2" t="n"/>
      <c r="AA58" s="0" t="inlineStr">
        <is>
          <t>NdPr -&gt; NdFeB permanent magnets (xEV traction motors, wind, robotics, defense, electronics); Ce/La -&gt; catalysts, phosphors, polishing, glass; SEG/HREE -&gt; magnet additives (Tb/Dy) and SmCo. [Backfilled 2026-07-07: commodity-level end-use, not per-facility disclosure]</t>
        </is>
      </c>
    </row>
    <row r="59" ht="15.75" customHeight="1" s="74">
      <c r="A59" s="56" t="inlineStr">
        <is>
          <t>Iluka Resources Ltd</t>
        </is>
      </c>
      <c r="B59" s="56" t="inlineStr">
        <is>
          <t>AU</t>
        </is>
      </c>
      <c r="C59" s="56" t="inlineStr">
        <is>
          <t>Eneabba Rare Earths Refinery</t>
        </is>
      </c>
      <c r="D59" s="51" t="inlineStr">
        <is>
          <t>refinery</t>
        </is>
      </c>
      <c r="E59" s="56" t="inlineStr">
        <is>
          <t>AU</t>
        </is>
      </c>
      <c r="F59" s="56" t="inlineStr">
        <is>
          <t>Western Australia</t>
        </is>
      </c>
      <c r="G59" s="56" t="inlineStr">
        <is>
          <t>Eneabba</t>
        </is>
      </c>
      <c r="H59" s="56" t="n">
        <v>-29.83</v>
      </c>
      <c r="I59" s="56" t="n">
        <v>115.28</v>
      </c>
      <c r="J59" s="56" t="inlineStr">
        <is>
          <t>under_construction</t>
        </is>
      </c>
      <c r="K59" s="56" t="inlineStr">
        <is>
          <t>Rare Earth Elements</t>
        </is>
      </c>
      <c r="L59" s="25" t="n"/>
      <c r="M59" s="56" t="n"/>
      <c r="N59" s="56" t="n"/>
      <c r="O59" s="56" t="n"/>
      <c r="P59" s="56" t="b">
        <v>1</v>
      </c>
      <c r="Q59" s="56" t="inlineStr">
        <is>
          <t>refined</t>
        </is>
      </c>
      <c r="R59" s="56" t="inlineStr">
        <is>
          <t>2846.90</t>
        </is>
      </c>
      <c r="S59" s="56" t="inlineStr">
        <is>
          <t>operator</t>
        </is>
      </c>
      <c r="T59" s="56" t="n">
        <v>1</v>
      </c>
      <c r="U59" s="56" t="inlineStr">
        <is>
          <t>Chemical separation &amp; refining</t>
        </is>
      </c>
      <c r="V59" s="56" t="inlineStr">
        <is>
          <t xml:space="preserve">[Product: Rare earth oxides (NdPr, Dy, Tb, etc.) → HS 2846.90 (HIGH)] </t>
        </is>
      </c>
      <c r="W59" s="2" t="n"/>
      <c r="X59" s="2" t="n"/>
      <c r="Y59" s="2" t="n"/>
      <c r="Z59" s="2" t="n"/>
      <c r="AA59" s="0" t="inlineStr">
        <is>
          <t>NdPr -&gt; NdFeB permanent magnets (xEV traction motors, wind, robotics, defense, electronics); Ce/La -&gt; catalysts, phosphors, polishing, glass; SEG/HREE -&gt; magnet additives (Tb/Dy) and SmCo. [Backfilled 2026-07-07: commodity-level end-use, not per-facility disclosure]</t>
        </is>
      </c>
    </row>
    <row r="60" ht="15.75" customHeight="1" s="74">
      <c r="A60" s="56" t="inlineStr">
        <is>
          <t>Sumitomo Metal Mining Co., Ltd.</t>
        </is>
      </c>
      <c r="B60" s="56" t="inlineStr">
        <is>
          <t>JP</t>
        </is>
      </c>
      <c r="C60" s="56" t="inlineStr">
        <is>
          <t>Toyo Smelter &amp; Refinery</t>
        </is>
      </c>
      <c r="D60" s="56" t="inlineStr">
        <is>
          <t>integrated</t>
        </is>
      </c>
      <c r="E60" s="56" t="inlineStr">
        <is>
          <t>JP</t>
        </is>
      </c>
      <c r="F60" s="56" t="inlineStr">
        <is>
          <t>Ehime</t>
        </is>
      </c>
      <c r="G60" s="56" t="inlineStr">
        <is>
          <t>Saijo</t>
        </is>
      </c>
      <c r="H60" s="56" t="n">
        <v>33.92</v>
      </c>
      <c r="I60" s="56" t="n">
        <v>133.3</v>
      </c>
      <c r="J60" s="56" t="inlineStr">
        <is>
          <t>operating</t>
        </is>
      </c>
      <c r="K60" s="56" t="inlineStr">
        <is>
          <t>Copper</t>
        </is>
      </c>
      <c r="L60" s="48" t="n">
        <v>443000</v>
      </c>
      <c r="M60" s="56" t="n"/>
      <c r="N60" s="56" t="n"/>
      <c r="O60" s="56" t="n"/>
      <c r="P60" s="56" t="b">
        <v>1</v>
      </c>
      <c r="Q60" s="56" t="inlineStr">
        <is>
          <t>refined</t>
        </is>
      </c>
      <c r="R60" s="56" t="inlineStr">
        <is>
          <t>7403.11</t>
        </is>
      </c>
      <c r="S60" s="56" t="inlineStr">
        <is>
          <t>operator</t>
        </is>
      </c>
      <c r="T60" s="56" t="n">
        <v>1</v>
      </c>
      <c r="U60" s="56" t="inlineStr">
        <is>
          <t>Smelting &amp; electrolytic refining</t>
        </is>
      </c>
      <c r="V60" s="56" t="inlineStr">
        <is>
          <t>[facility_type normalized "Copper smelter &amp; refinery"-&gt;"integrated" 2026-07-07 per extended FacilityType enum] [HS BACKFILL 2026-07-10: 7403.11 - refined cathode; from product_end_use/name evidence, H6+mapping-table verified.]</t>
        </is>
      </c>
      <c r="W60" s="2" t="n"/>
      <c r="X60" s="2" t="n"/>
      <c r="Y60" s="2" t="n"/>
      <c r="Z60" s="2" t="n"/>
      <c r="AA60" s="0" t="inlineStr">
        <is>
          <t>Electrical &amp; electronic products incl. power transmission/generation, construction, transportation, machinery; EV motors/wiring/charging. [Backfilled 2026-07-07: commodity-level end-use, not per-facility disclosure]</t>
        </is>
      </c>
    </row>
    <row r="61" ht="15.75" customHeight="1" s="74">
      <c r="A61" s="56" t="inlineStr">
        <is>
          <t>Sumitomo Metal Mining Co., Ltd.</t>
        </is>
      </c>
      <c r="B61" s="56" t="inlineStr">
        <is>
          <t>JP</t>
        </is>
      </c>
      <c r="C61" s="56" t="inlineStr">
        <is>
          <t>Niihama Nickel Refinery</t>
        </is>
      </c>
      <c r="D61" s="56" t="inlineStr">
        <is>
          <t>refinery</t>
        </is>
      </c>
      <c r="E61" s="56" t="inlineStr">
        <is>
          <t>JP</t>
        </is>
      </c>
      <c r="F61" s="56" t="inlineStr">
        <is>
          <t>Ehime</t>
        </is>
      </c>
      <c r="G61" s="56" t="inlineStr">
        <is>
          <t>Niihama</t>
        </is>
      </c>
      <c r="H61" s="56" t="n">
        <v>33.96</v>
      </c>
      <c r="I61" s="56" t="n">
        <v>133.27</v>
      </c>
      <c r="J61" s="56" t="inlineStr">
        <is>
          <t>operating</t>
        </is>
      </c>
      <c r="K61" s="56" t="inlineStr">
        <is>
          <t>Nickel</t>
        </is>
      </c>
      <c r="L61" s="48" t="n">
        <v>64000</v>
      </c>
      <c r="M61" s="56" t="n"/>
      <c r="N61" s="56" t="n"/>
      <c r="O61" s="56" t="n"/>
      <c r="P61" s="56" t="b">
        <v>1</v>
      </c>
      <c r="Q61" s="56" t="inlineStr">
        <is>
          <t>refined</t>
        </is>
      </c>
      <c r="R61" s="56" t="inlineStr">
        <is>
          <t>7501.20</t>
        </is>
      </c>
      <c r="S61" s="56" t="inlineStr">
        <is>
          <t>operator</t>
        </is>
      </c>
      <c r="T61" s="56" t="n">
        <v>1</v>
      </c>
      <c r="U61" s="56" t="inlineStr">
        <is>
          <t>Hydrometallurgical refining</t>
        </is>
      </c>
      <c r="V61" s="56" t="inlineStr">
        <is>
          <t xml:space="preserve">[Product: Nickel (and cobalt products) → HS 7501.20 (MEDIUM)] </t>
        </is>
      </c>
      <c r="W61" s="2" t="n"/>
      <c r="X61" s="2" t="n"/>
      <c r="Y61" s="2" t="n"/>
      <c r="Z61" s="2" t="n"/>
      <c r="AA61" s="0" t="inlineStr">
        <is>
          <t>Stainless steel (majority of demand); Class-1/battery-grade nickel -&gt; NCM/NCA cathodes. [Backfilled 2026-07-07: commodity-level end-use, not per-facility disclosure]</t>
        </is>
      </c>
    </row>
    <row r="62" ht="15.75" customHeight="1" s="74">
      <c r="A62" s="56" t="inlineStr">
        <is>
          <t>Sumitomo Metal Mining Co., Ltd.</t>
        </is>
      </c>
      <c r="B62" s="56" t="inlineStr">
        <is>
          <t>JP</t>
        </is>
      </c>
      <c r="C62" s="56" t="inlineStr">
        <is>
          <t>Coral Bay HPAL Plant</t>
        </is>
      </c>
      <c r="D62" s="56" t="inlineStr">
        <is>
          <t>processing</t>
        </is>
      </c>
      <c r="E62" s="56" t="inlineStr">
        <is>
          <t>PH</t>
        </is>
      </c>
      <c r="F62" s="56" t="inlineStr">
        <is>
          <t>Palawan</t>
        </is>
      </c>
      <c r="G62" s="56" t="inlineStr">
        <is>
          <t>Bataraza</t>
        </is>
      </c>
      <c r="H62" s="56" t="n">
        <v>9.74</v>
      </c>
      <c r="I62" s="56" t="n">
        <v>118.74</v>
      </c>
      <c r="J62" s="56" t="inlineStr">
        <is>
          <t>operating</t>
        </is>
      </c>
      <c r="K62" s="56" t="inlineStr">
        <is>
          <t>Nickel</t>
        </is>
      </c>
      <c r="L62" s="48" t="n">
        <v>26500</v>
      </c>
      <c r="M62" s="56" t="n"/>
      <c r="N62" s="56" t="n"/>
      <c r="O62" s="56" t="n"/>
      <c r="P62" s="56" t="b">
        <v>1</v>
      </c>
      <c r="Q62" s="56" t="inlineStr">
        <is>
          <t>intermediate</t>
        </is>
      </c>
      <c r="R62" s="56" t="inlineStr">
        <is>
          <t>7501.20</t>
        </is>
      </c>
      <c r="S62" s="56" t="inlineStr">
        <is>
          <t>operator</t>
        </is>
      </c>
      <c r="T62" s="56" t="n"/>
      <c r="U62" s="56" t="inlineStr">
        <is>
          <t>HPAL leaching &amp; precipitation</t>
        </is>
      </c>
      <c r="V62" s="56" t="inlineStr">
        <is>
          <t>[Original product: Nickel–cobalt intermediate] [Action: MHP — split Ni (2825.40) + Co (2822.00) rows]  [MATERIAL LABEL FIX 2026-07-10: was 'Nickel–cobalt intermediate' -&gt; 'Nickel'. Ni-Co intermediate (MS/MSP) - Co secondary.] [OWNERSHIP FIX 2026-07-10: pct was free text 'Majority stake' -&gt; blank; ownership_type retained.] [HS BACKFILL 2026-07-10: 7501.20 - Ni intermediates; from product_end_use/name evidence, H6+mapping-table verified.]</t>
        </is>
      </c>
      <c r="W62" s="2" t="n"/>
      <c r="X62" s="2" t="n"/>
      <c r="Y62" s="2" t="n"/>
      <c r="Z62" s="2" t="n"/>
      <c r="AA62" s="0" t="inlineStr">
        <is>
          <t>MHP/intermediate feed for pCAM/CAM production (NCM/NCA Li-ion cathodes) and Class-1 nickel refining. [Backfilled 2026-07-07: commodity-level end-use, not per-facility disclosure]</t>
        </is>
      </c>
    </row>
    <row r="63" ht="15.75" customHeight="1" s="74">
      <c r="A63" s="56" t="inlineStr">
        <is>
          <t>Sumitomo Metal Mining Co., Ltd.</t>
        </is>
      </c>
      <c r="B63" s="56" t="inlineStr">
        <is>
          <t>JP</t>
        </is>
      </c>
      <c r="C63" s="56" t="inlineStr">
        <is>
          <t>Taganito HPAL Plant</t>
        </is>
      </c>
      <c r="D63" s="56" t="inlineStr">
        <is>
          <t>processing</t>
        </is>
      </c>
      <c r="E63" s="56" t="inlineStr">
        <is>
          <t>PH</t>
        </is>
      </c>
      <c r="F63" s="56" t="inlineStr">
        <is>
          <t>Surigao del Norte</t>
        </is>
      </c>
      <c r="G63" s="56" t="inlineStr">
        <is>
          <t>Taganito</t>
        </is>
      </c>
      <c r="H63" s="56" t="n">
        <v>9.44</v>
      </c>
      <c r="I63" s="56" t="n">
        <v>125.51</v>
      </c>
      <c r="J63" s="56" t="inlineStr">
        <is>
          <t>operating</t>
        </is>
      </c>
      <c r="K63" s="56" t="inlineStr">
        <is>
          <t>Nickel</t>
        </is>
      </c>
      <c r="L63" s="56" t="n"/>
      <c r="M63" s="56" t="n"/>
      <c r="N63" s="56" t="n"/>
      <c r="O63" s="56" t="n"/>
      <c r="P63" s="56" t="b">
        <v>1</v>
      </c>
      <c r="Q63" s="56" t="inlineStr">
        <is>
          <t>intermediate</t>
        </is>
      </c>
      <c r="R63" s="56" t="inlineStr">
        <is>
          <t>7501.20</t>
        </is>
      </c>
      <c r="S63" s="56" t="inlineStr">
        <is>
          <t>jv_partner</t>
        </is>
      </c>
      <c r="T63" s="56" t="n"/>
      <c r="U63" s="56" t="inlineStr">
        <is>
          <t>HPAL leaching &amp; precipitation</t>
        </is>
      </c>
      <c r="V63" s="56" t="inlineStr">
        <is>
          <t>[Original product: Nickel–cobalt intermediate] [Action: MHP — split Ni (2825.40) + Co (2822.00) rows]  [MATERIAL LABEL FIX 2026-07-10: was 'Nickel–cobalt intermediate' -&gt; 'Nickel'. Ni-Co intermediate (MS/MSP) - Co secondary.] [OWNERSHIP FIX 2026-07-10: pct was free text 'JV stake' -&gt; blank; ownership_type retained.] [HS BACKFILL 2026-07-10: 7501.20 - Ni intermediates; from product_end_use/name evidence, H6+mapping-table verified.]</t>
        </is>
      </c>
      <c r="W63" s="2" t="n"/>
      <c r="X63" s="2" t="n"/>
      <c r="Y63" s="2" t="n"/>
      <c r="Z63" s="2" t="n"/>
      <c r="AA63" s="0" t="inlineStr">
        <is>
          <t>MHP/intermediate feed for pCAM/CAM production (NCM/NCA Li-ion cathodes) and Class-1 nickel refining. [Backfilled 2026-07-07: commodity-level end-use, not per-facility disclosure]</t>
        </is>
      </c>
    </row>
    <row r="64" ht="15.75" customHeight="1" s="74">
      <c r="A64" s="56" t="inlineStr">
        <is>
          <t>Sumitomo Metal Mining Co., Ltd.</t>
        </is>
      </c>
      <c r="B64" s="56" t="inlineStr">
        <is>
          <t>JP</t>
        </is>
      </c>
      <c r="C64" s="56" t="inlineStr">
        <is>
          <t>Toyo LIB Recycling Facility</t>
        </is>
      </c>
      <c r="D64" s="56" t="inlineStr">
        <is>
          <t>recycling</t>
        </is>
      </c>
      <c r="E64" s="56" t="inlineStr">
        <is>
          <t>JP</t>
        </is>
      </c>
      <c r="F64" s="56" t="inlineStr">
        <is>
          <t>Ehime</t>
        </is>
      </c>
      <c r="G64" s="56" t="inlineStr">
        <is>
          <t>Saijo</t>
        </is>
      </c>
      <c r="H64" s="56" t="n">
        <v>33.92</v>
      </c>
      <c r="I64" s="56" t="n">
        <v>133.3</v>
      </c>
      <c r="J64" s="56" t="inlineStr">
        <is>
          <t>under_construction</t>
        </is>
      </c>
      <c r="K64" s="56" t="inlineStr">
        <is>
          <t>Nickel</t>
        </is>
      </c>
      <c r="L64" s="25" t="n"/>
      <c r="M64" s="56" t="n"/>
      <c r="N64" s="56" t="n">
        <v>10000</v>
      </c>
      <c r="O64" s="56" t="n"/>
      <c r="P64" s="56" t="b">
        <v>1</v>
      </c>
      <c r="Q64" s="56" t="inlineStr">
        <is>
          <t>refined</t>
        </is>
      </c>
      <c r="R64" s="56" t="inlineStr">
        <is>
          <t>2833.24</t>
        </is>
      </c>
      <c r="S64" s="56" t="inlineStr">
        <is>
          <t>operator</t>
        </is>
      </c>
      <c r="T64" s="56" t="n">
        <v>1</v>
      </c>
      <c r="U64" s="56" t="inlineStr">
        <is>
          <t>Pyro + hydro metallurgical recycling</t>
        </is>
      </c>
      <c r="V64" s="27" t="inlineStr">
        <is>
          <t>[Original product: Nickel, cobalt, copper, lithium (from LIBs)] [Action: Recycling output — split per material]  [MATERIAL LABEL FIX 2026-07-10: was 'Nickel, cobalt, copper, lithium (from LIBs)' -&gt; 'Nickel'. LIB recycling multi-metal output; Ni-Co sulfate primary.] [HS BACKFILL 2026-07-10: 2833.24 - battery-grade Ni sulfate from recycling; from product_end_use/name evidence, H6+mapping-table verified.]</t>
        </is>
      </c>
      <c r="W64" s="2" t="n"/>
      <c r="X64" s="2" t="n"/>
      <c r="Y64" s="2" t="n"/>
      <c r="Z64" s="2" t="n"/>
      <c r="AA64" s="0" t="inlineStr">
        <is>
          <t>Recycled battery metals returned to pCAM/cathode and electrolyte supply chains (closed-loop LIB recycling). [Backfilled 2026-07-07: commodity-level end-use, not per-facility disclosure]</t>
        </is>
      </c>
    </row>
    <row r="65" ht="15.75" customHeight="1" s="74">
      <c r="A65" s="56" t="inlineStr">
        <is>
          <t>Sumitomo Metal Mining Co., Ltd.</t>
        </is>
      </c>
      <c r="B65" s="56" t="inlineStr">
        <is>
          <t>JP</t>
        </is>
      </c>
      <c r="C65" s="56" t="inlineStr">
        <is>
          <t>Niihama LIB Recycling Facility</t>
        </is>
      </c>
      <c r="D65" s="56" t="inlineStr">
        <is>
          <t>recycling</t>
        </is>
      </c>
      <c r="E65" s="56" t="inlineStr">
        <is>
          <t>JP</t>
        </is>
      </c>
      <c r="F65" s="56" t="inlineStr">
        <is>
          <t>Ehime</t>
        </is>
      </c>
      <c r="G65" s="56" t="inlineStr">
        <is>
          <t>Niihama</t>
        </is>
      </c>
      <c r="H65" s="56" t="n">
        <v>33.96</v>
      </c>
      <c r="I65" s="56" t="n">
        <v>133.27</v>
      </c>
      <c r="J65" s="56" t="inlineStr">
        <is>
          <t>under_construction</t>
        </is>
      </c>
      <c r="K65" s="56" t="inlineStr">
        <is>
          <t>Nickel</t>
        </is>
      </c>
      <c r="L65" s="25" t="n"/>
      <c r="M65" s="56" t="n"/>
      <c r="N65" s="56" t="n"/>
      <c r="O65" s="56" t="n"/>
      <c r="P65" s="56" t="b">
        <v>1</v>
      </c>
      <c r="Q65" s="56" t="inlineStr">
        <is>
          <t>refined</t>
        </is>
      </c>
      <c r="R65" s="56" t="inlineStr">
        <is>
          <t>2833.24</t>
        </is>
      </c>
      <c r="S65" s="56" t="inlineStr">
        <is>
          <t>operator</t>
        </is>
      </c>
      <c r="T65" s="56" t="n">
        <v>1</v>
      </c>
      <c r="U65" s="56" t="inlineStr">
        <is>
          <t>Pyro + hydro metallurgical recycling</t>
        </is>
      </c>
      <c r="V65" s="27" t="inlineStr">
        <is>
          <t>[Original product: Nickel, cobalt, copper, lithium (from LIBs)] [Action: Recycling output — split per material]  [MATERIAL LABEL FIX 2026-07-10: was 'Nickel, cobalt, copper, lithium (from LIBs)' -&gt; 'Nickel'. LIB recycling multi-metal output; Ni-Co sulfate primary.] [HS BACKFILL 2026-07-10: 2833.24 - battery-grade Ni sulfate from recycling; from product_end_use/name evidence, H6+mapping-table verified.]</t>
        </is>
      </c>
      <c r="W65" s="2" t="n"/>
      <c r="X65" s="2" t="n"/>
      <c r="Y65" s="2" t="n"/>
      <c r="Z65" s="2" t="n"/>
      <c r="AA65" s="0" t="inlineStr">
        <is>
          <t>Recycled battery metals returned to pCAM/cathode and electrolyte supply chains (closed-loop LIB recycling). [Backfilled 2026-07-07: commodity-level end-use, not per-facility disclosure]</t>
        </is>
      </c>
    </row>
    <row r="66" ht="15.75" customHeight="1" s="74">
      <c r="A66" s="56" t="inlineStr">
        <is>
          <t>Energy Fuels Inc.</t>
        </is>
      </c>
      <c r="B66" s="56" t="inlineStr">
        <is>
          <t>US</t>
        </is>
      </c>
      <c r="C66" s="56" t="inlineStr">
        <is>
          <t>White Mesa Mill</t>
        </is>
      </c>
      <c r="D66" s="56" t="inlineStr">
        <is>
          <t>processing</t>
        </is>
      </c>
      <c r="E66" s="56" t="inlineStr">
        <is>
          <t>US</t>
        </is>
      </c>
      <c r="F66" s="56" t="inlineStr">
        <is>
          <t>Utah</t>
        </is>
      </c>
      <c r="G66" s="56" t="inlineStr">
        <is>
          <t>Blanding</t>
        </is>
      </c>
      <c r="H66" s="56" t="n">
        <v>37.5739</v>
      </c>
      <c r="I66" s="56" t="n">
        <v>-109.4781</v>
      </c>
      <c r="J66" s="56" t="inlineStr">
        <is>
          <t>operating</t>
        </is>
      </c>
      <c r="K66" s="51" t="inlineStr">
        <is>
          <t>Rare Earth Elements</t>
        </is>
      </c>
      <c r="L66" s="50" t="n">
        <v>10000</v>
      </c>
      <c r="M66" s="51" t="inlineStr">
        <is>
          <t>t/yr</t>
        </is>
      </c>
      <c r="N66" s="56" t="n"/>
      <c r="O66" s="56" t="n"/>
      <c r="P66" s="56" t="b">
        <v>1</v>
      </c>
      <c r="Q66" s="56" t="inlineStr">
        <is>
          <t>intermediate</t>
        </is>
      </c>
      <c r="R66" s="56" t="inlineStr">
        <is>
          <t>2846.90</t>
        </is>
      </c>
      <c r="S66" s="56" t="inlineStr">
        <is>
          <t>operator</t>
        </is>
      </c>
      <c r="T66" s="56" t="n">
        <v>1</v>
      </c>
      <c r="U66" s="56" t="inlineStr">
        <is>
          <t>Acid leaching &amp; precipitation</t>
        </is>
      </c>
      <c r="V66" s="56" t="inlineStr">
        <is>
          <t>[Product: Mixed rare earth carbonate (MREC) → HS 2846.90 (HIGH)]  [2026-07-11: merged with former monazite-receipt row — mill also receives ~1,000 t/yr monazite concentrate feed (HS 2612.20 — NO node in mappings yet, known candidate). uq_facility_material_link allows one link per (facility, material); kept the MREC intermediate stage as the resolvable, downstream form.]</t>
        </is>
      </c>
      <c r="W66" s="2" t="n"/>
      <c r="X66" s="2" t="n"/>
      <c r="Y66" s="2" t="n"/>
      <c r="Z66" s="2" t="n"/>
      <c r="AA66" s="0" t="inlineStr">
        <is>
          <t>NdPr -&gt; NdFeB permanent magnets (xEV traction motors, wind, robotics, defense, electronics); Ce/La -&gt; catalysts, phosphors, polishing, glass; SEG/HREE -&gt; magnet additives (Tb/Dy) and SmCo. [Backfilled 2026-07-07: commodity-level end-use, not per-facility disclosure]</t>
        </is>
      </c>
    </row>
    <row r="67" ht="15.75" customHeight="1" s="74">
      <c r="A67" s="56" t="inlineStr">
        <is>
          <t>Energy Fuels Inc.</t>
        </is>
      </c>
      <c r="B67" s="56" t="inlineStr">
        <is>
          <t>US</t>
        </is>
      </c>
      <c r="C67" s="56" t="inlineStr">
        <is>
          <t>White Mesa Mill</t>
        </is>
      </c>
      <c r="D67" s="56" t="inlineStr">
        <is>
          <t>processing</t>
        </is>
      </c>
      <c r="E67" s="56" t="inlineStr">
        <is>
          <t>US</t>
        </is>
      </c>
      <c r="F67" s="56" t="inlineStr">
        <is>
          <t>Utah</t>
        </is>
      </c>
      <c r="G67" s="56" t="inlineStr">
        <is>
          <t>Blanding</t>
        </is>
      </c>
      <c r="H67" s="56" t="n">
        <v>37.5739</v>
      </c>
      <c r="I67" s="56" t="n">
        <v>-109.4781</v>
      </c>
      <c r="J67" s="56" t="inlineStr">
        <is>
          <t>operating</t>
        </is>
      </c>
      <c r="K67" s="56" t="inlineStr">
        <is>
          <t>Neodymium</t>
        </is>
      </c>
      <c r="L67" s="25" t="n"/>
      <c r="M67" s="56" t="n"/>
      <c r="N67" s="56" t="n"/>
      <c r="O67" s="56" t="n"/>
      <c r="P67" s="56" t="b">
        <v>1</v>
      </c>
      <c r="Q67" s="56" t="inlineStr">
        <is>
          <t>refined</t>
        </is>
      </c>
      <c r="R67" s="56" t="inlineStr">
        <is>
          <t>2846.90</t>
        </is>
      </c>
      <c r="S67" s="56" t="inlineStr">
        <is>
          <t>operator</t>
        </is>
      </c>
      <c r="T67" s="56" t="n">
        <v>1</v>
      </c>
      <c r="U67" s="56" t="inlineStr">
        <is>
          <t>Solvent extraction &amp; separation</t>
        </is>
      </c>
      <c r="V67" s="56" t="inlineStr">
        <is>
          <t xml:space="preserve">[Product: Neodymium–praseodymium oxide (NdPr) → HS 2846.90 (HIGH)] </t>
        </is>
      </c>
      <c r="W67" s="2" t="n"/>
      <c r="X67" s="2" t="n"/>
      <c r="Y67" s="2" t="n"/>
      <c r="Z67" s="2" t="n"/>
      <c r="AA67" s="0" t="inlineStr">
        <is>
          <t>NdFeB permanent magnet alloy (xEV traction motors, wind generators, robotics, defense, electronics). [Backfilled 2026-07-07: commodity-level end-use, not per-facility disclosure]</t>
        </is>
      </c>
    </row>
    <row r="68" ht="15.75" customHeight="1" s="74">
      <c r="A68" s="56" t="inlineStr">
        <is>
          <t>Energy Fuels Inc.</t>
        </is>
      </c>
      <c r="B68" s="56" t="inlineStr">
        <is>
          <t>US</t>
        </is>
      </c>
      <c r="C68" s="56" t="inlineStr">
        <is>
          <t>White Mesa Mill</t>
        </is>
      </c>
      <c r="D68" s="56" t="inlineStr">
        <is>
          <t>processing</t>
        </is>
      </c>
      <c r="E68" s="56" t="inlineStr">
        <is>
          <t>US</t>
        </is>
      </c>
      <c r="F68" s="56" t="inlineStr">
        <is>
          <t>Utah</t>
        </is>
      </c>
      <c r="G68" s="56" t="inlineStr">
        <is>
          <t>Blanding</t>
        </is>
      </c>
      <c r="H68" s="56" t="n">
        <v>37.5739</v>
      </c>
      <c r="I68" s="56" t="n">
        <v>-109.4781</v>
      </c>
      <c r="J68" s="56" t="inlineStr">
        <is>
          <t>planned</t>
        </is>
      </c>
      <c r="K68" s="56" t="inlineStr">
        <is>
          <t>Dysprosium</t>
        </is>
      </c>
      <c r="L68" s="56" t="n"/>
      <c r="M68" s="56" t="n"/>
      <c r="N68" s="56" t="n"/>
      <c r="O68" s="56" t="n"/>
      <c r="P68" s="56" t="b">
        <v>1</v>
      </c>
      <c r="Q68" s="56" t="inlineStr">
        <is>
          <t>refined</t>
        </is>
      </c>
      <c r="R68" s="56" t="inlineStr">
        <is>
          <t>2846.90</t>
        </is>
      </c>
      <c r="S68" s="56" t="inlineStr">
        <is>
          <t>operator</t>
        </is>
      </c>
      <c r="T68" s="56" t="n">
        <v>1</v>
      </c>
      <c r="U68" s="56" t="inlineStr">
        <is>
          <t>Heavy REE solvent extraction</t>
        </is>
      </c>
      <c r="V68" s="56" t="inlineStr">
        <is>
          <t xml:space="preserve">[Product: Dysprosium oxide (Dy₂O₃) → HS 2846.90 (HIGH)] </t>
        </is>
      </c>
      <c r="W68" s="2" t="n"/>
      <c r="X68" s="2" t="n"/>
      <c r="Y68" s="2" t="n"/>
      <c r="Z68" s="2" t="n"/>
      <c r="AA68" s="0" t="inlineStr">
        <is>
          <t>HREE additive for NdFeB magnets (grain-boundary diffusion, high-temperature coercivity - EV motor grade). [Backfilled 2026-07-07: commodity-level end-use, not per-facility disclosure]</t>
        </is>
      </c>
    </row>
    <row r="69" ht="15.75" customHeight="1" s="74">
      <c r="A69" s="56" t="inlineStr">
        <is>
          <t>Energy Fuels Inc.</t>
        </is>
      </c>
      <c r="B69" s="56" t="inlineStr">
        <is>
          <t>US</t>
        </is>
      </c>
      <c r="C69" s="56" t="inlineStr">
        <is>
          <t>White Mesa Mill</t>
        </is>
      </c>
      <c r="D69" s="56" t="inlineStr">
        <is>
          <t>processing</t>
        </is>
      </c>
      <c r="E69" s="56" t="inlineStr">
        <is>
          <t>US</t>
        </is>
      </c>
      <c r="F69" s="56" t="inlineStr">
        <is>
          <t>Utah</t>
        </is>
      </c>
      <c r="G69" s="56" t="inlineStr">
        <is>
          <t>Blanding</t>
        </is>
      </c>
      <c r="H69" s="56" t="n">
        <v>37.5739</v>
      </c>
      <c r="I69" s="56" t="n">
        <v>-109.4781</v>
      </c>
      <c r="J69" s="56" t="inlineStr">
        <is>
          <t>planned</t>
        </is>
      </c>
      <c r="K69" s="56" t="inlineStr">
        <is>
          <t>Terbium</t>
        </is>
      </c>
      <c r="L69" s="56" t="n"/>
      <c r="M69" s="56" t="n"/>
      <c r="N69" s="56" t="n"/>
      <c r="O69" s="56" t="n"/>
      <c r="P69" s="56" t="b">
        <v>1</v>
      </c>
      <c r="Q69" s="56" t="inlineStr">
        <is>
          <t>refined</t>
        </is>
      </c>
      <c r="R69" s="56" t="inlineStr">
        <is>
          <t>2846.90</t>
        </is>
      </c>
      <c r="S69" s="56" t="inlineStr">
        <is>
          <t>operator</t>
        </is>
      </c>
      <c r="T69" s="56" t="n">
        <v>1</v>
      </c>
      <c r="U69" s="56" t="inlineStr">
        <is>
          <t>Heavy REE solvent extraction</t>
        </is>
      </c>
      <c r="V69" s="56" t="inlineStr">
        <is>
          <t xml:space="preserve">[Product: Terbium oxide (Tb₄O₇) → HS 2846.90 (HIGH)] </t>
        </is>
      </c>
      <c r="W69" s="2" t="n"/>
      <c r="X69" s="2" t="n"/>
      <c r="Y69" s="2" t="n"/>
      <c r="Z69" s="2" t="n"/>
      <c r="AA69" s="0" t="inlineStr">
        <is>
          <t>HREE additive for NdFeB magnets (grain-boundary diffusion); phosphors. [Backfilled 2026-07-07: commodity-level end-use, not per-facility disclosure]</t>
        </is>
      </c>
    </row>
    <row r="70" ht="15.75" customHeight="1" s="74">
      <c r="A70" s="56" t="inlineStr">
        <is>
          <t>USA Rare Earth LLC</t>
        </is>
      </c>
      <c r="B70" s="56" t="inlineStr">
        <is>
          <t>US</t>
        </is>
      </c>
      <c r="C70" s="56" t="inlineStr">
        <is>
          <t>Round Top Project</t>
        </is>
      </c>
      <c r="D70" s="56" t="inlineStr">
        <is>
          <t>integrated</t>
        </is>
      </c>
      <c r="E70" s="56" t="inlineStr">
        <is>
          <t>US</t>
        </is>
      </c>
      <c r="F70" s="56" t="inlineStr">
        <is>
          <t>Texas</t>
        </is>
      </c>
      <c r="G70" s="56" t="inlineStr">
        <is>
          <t>Sierra Blanca</t>
        </is>
      </c>
      <c r="H70" s="54" t="n">
        <v>31.276644</v>
      </c>
      <c r="I70" s="54" t="n">
        <v>-105.474243</v>
      </c>
      <c r="J70" s="56" t="inlineStr">
        <is>
          <t>under_construction</t>
        </is>
      </c>
      <c r="K70" s="56" t="inlineStr">
        <is>
          <t>Rare Earth Elements</t>
        </is>
      </c>
      <c r="L70" s="56" t="n"/>
      <c r="M70" s="56" t="n"/>
      <c r="N70" s="56" t="n"/>
      <c r="O70" s="56" t="n"/>
      <c r="P70" s="56" t="n"/>
      <c r="Q70" s="53" t="inlineStr">
        <is>
          <t>refined</t>
        </is>
      </c>
      <c r="R70" s="56" t="inlineStr">
        <is>
          <t>2846.90</t>
        </is>
      </c>
      <c r="S70" s="56" t="inlineStr">
        <is>
          <t>operator</t>
        </is>
      </c>
      <c r="T70" s="56" t="n">
        <v>1</v>
      </c>
      <c r="U70" s="56" t="inlineStr">
        <is>
          <t>Mixed RE oxides</t>
        </is>
      </c>
      <c r="V70" s="56" t="inlineStr">
        <is>
          <t>[Product: Rare earths (Nd, Pr, Dy, Tb) → HS 2846.90 (HIGH)]  [facility_type normalized "Mine &amp; processing (planned)"-&gt;"integrated" 2026-07-07 per extended FacilityType enum]</t>
        </is>
      </c>
      <c r="W70" s="2" t="n"/>
      <c r="X70" s="2" t="n"/>
      <c r="Y70" s="2" t="n"/>
      <c r="Z70" s="2" t="n"/>
      <c r="AA70" s="0" t="inlineStr">
        <is>
          <t>NdPr -&gt; NdFeB permanent magnets (xEV traction motors, wind, robotics, defense, electronics); Ce/La -&gt; catalysts, phosphors, polishing, glass; SEG/HREE -&gt; magnet additives (Tb/Dy) and SmCo. [Backfilled 2026-07-07: commodity-level end-use, not per-facility disclosure]</t>
        </is>
      </c>
    </row>
    <row r="71" ht="15.75" customHeight="1" s="74">
      <c r="A71" s="56" t="inlineStr">
        <is>
          <t>NioCorp Developments Ltd.</t>
        </is>
      </c>
      <c r="B71" s="56" t="inlineStr">
        <is>
          <t>CA</t>
        </is>
      </c>
      <c r="C71" s="56" t="inlineStr">
        <is>
          <t>Elk Creek Project</t>
        </is>
      </c>
      <c r="D71" s="56" t="inlineStr">
        <is>
          <t>integrated</t>
        </is>
      </c>
      <c r="E71" s="56" t="inlineStr">
        <is>
          <t>US</t>
        </is>
      </c>
      <c r="F71" s="56" t="inlineStr">
        <is>
          <t>Nebraska</t>
        </is>
      </c>
      <c r="G71" s="56" t="inlineStr">
        <is>
          <t>Elk Creek</t>
        </is>
      </c>
      <c r="H71" s="54" t="n">
        <v>40.285</v>
      </c>
      <c r="I71" s="54" t="n">
        <v>-96.10599999999999</v>
      </c>
      <c r="J71" s="56" t="inlineStr">
        <is>
          <t>under_construction</t>
        </is>
      </c>
      <c r="K71" s="56" t="inlineStr">
        <is>
          <t>Niobium</t>
        </is>
      </c>
      <c r="L71" s="56" t="n"/>
      <c r="M71" s="56" t="n"/>
      <c r="N71" s="56" t="n"/>
      <c r="O71" s="56" t="n"/>
      <c r="P71" s="56" t="n"/>
      <c r="Q71" s="53" t="inlineStr">
        <is>
          <t>refined</t>
        </is>
      </c>
      <c r="R71" s="56" t="inlineStr">
        <is>
          <t>7202.93</t>
        </is>
      </c>
      <c r="S71" s="56" t="inlineStr">
        <is>
          <t>operator</t>
        </is>
      </c>
      <c r="T71" s="56" t="n">
        <v>1</v>
      </c>
      <c r="U71" s="56" t="inlineStr">
        <is>
          <t>Ferroniobium; scandium products</t>
        </is>
      </c>
      <c r="V71" s="27" t="inlineStr">
        <is>
          <t>[Original product: Niobium, scandium, titanium] [Action: Split Nb+Ti (Sc not canonical)]  [facility_type normalized "Mine &amp; processing (planned)"-&gt;"integrated" 2026-07-07 per extended FacilityType enum] [MATERIAL LABEL FIX 2026-07-10: was 'Niobium, scandium, titanium' -&gt; 'Niobium'. Nb primary (Elk Creek); Sc/Ti co-products.] [HS BACKFILL 2026-07-10: 7202.93 - ferroniobium; from product_end_use/name evidence, H6+mapping-table verified.]</t>
        </is>
      </c>
      <c r="W71" s="2" t="n"/>
      <c r="X71" s="2" t="n"/>
      <c r="Y71" s="2" t="n"/>
      <c r="Z71" s="2" t="n"/>
      <c r="AA71" s="0" t="inlineStr">
        <is>
          <t>Ferroniobium -&gt; HSLA steel; Sc -&gt; Al-Sc aerospace alloys + SOFC; Ti -&gt; pigment/aerospace. [Backfilled 2026-07-07: commodity-level end-use, not per-facility disclosure]</t>
        </is>
      </c>
    </row>
    <row r="72" ht="15.75" customHeight="1" s="74">
      <c r="A72" s="56" t="inlineStr">
        <is>
          <t>Ucore Rare Metals Inc.</t>
        </is>
      </c>
      <c r="B72" s="56" t="inlineStr">
        <is>
          <t>CA</t>
        </is>
      </c>
      <c r="C72" s="56" t="inlineStr">
        <is>
          <t>Alaska SMC (planned)</t>
        </is>
      </c>
      <c r="D72" s="56" t="inlineStr">
        <is>
          <t>refinery</t>
        </is>
      </c>
      <c r="E72" s="56" t="inlineStr">
        <is>
          <t>US</t>
        </is>
      </c>
      <c r="F72" s="56" t="inlineStr">
        <is>
          <t>Alaska</t>
        </is>
      </c>
      <c r="G72" s="56" t="inlineStr">
        <is>
          <t>Ketchikan</t>
        </is>
      </c>
      <c r="H72" s="54" t="n">
        <v>55.3422</v>
      </c>
      <c r="I72" s="54" t="n">
        <v>-131.6461</v>
      </c>
      <c r="J72" s="56" t="inlineStr">
        <is>
          <t>under_construction</t>
        </is>
      </c>
      <c r="K72" s="56" t="inlineStr">
        <is>
          <t>Rare Earth Elements</t>
        </is>
      </c>
      <c r="L72" s="56" t="n"/>
      <c r="M72" s="56" t="n"/>
      <c r="N72" s="56" t="n"/>
      <c r="O72" s="56" t="n"/>
      <c r="P72" s="56" t="n"/>
      <c r="Q72" s="53" t="inlineStr">
        <is>
          <t>refined</t>
        </is>
      </c>
      <c r="R72" s="56" t="inlineStr">
        <is>
          <t>2846.90</t>
        </is>
      </c>
      <c r="S72" s="56" t="inlineStr">
        <is>
          <t>operator</t>
        </is>
      </c>
      <c r="T72" s="56" t="n">
        <v>1</v>
      </c>
      <c r="U72" s="56" t="inlineStr">
        <is>
          <t>High‑purity RE oxides</t>
        </is>
      </c>
      <c r="V72" s="56" t="inlineStr">
        <is>
          <t xml:space="preserve">[Product: Rare earths → HS 2846.90 (MEDIUM)] </t>
        </is>
      </c>
      <c r="W72" s="2" t="n"/>
      <c r="X72" s="2" t="n"/>
      <c r="Y72" s="2" t="n"/>
      <c r="Z72" s="2" t="n"/>
      <c r="AA72" s="0" t="inlineStr">
        <is>
          <t>NdPr -&gt; NdFeB permanent magnets (xEV traction motors, wind, robotics, defense, electronics); Ce/La -&gt; catalysts, phosphors, polishing, glass; SEG/HREE -&gt; magnet additives (Tb/Dy) and SmCo. [Backfilled 2026-07-07: commodity-level end-use, not per-facility disclosure]</t>
        </is>
      </c>
    </row>
    <row r="73" ht="15.75" customHeight="1" s="74">
      <c r="A73" s="56" t="inlineStr">
        <is>
          <t>Ucore Rare Metals Inc.</t>
        </is>
      </c>
      <c r="B73" s="56" t="inlineStr">
        <is>
          <t>CA</t>
        </is>
      </c>
      <c r="C73" s="56" t="inlineStr">
        <is>
          <t>Louisiana SMC</t>
        </is>
      </c>
      <c r="D73" s="56" t="inlineStr">
        <is>
          <t>refinery</t>
        </is>
      </c>
      <c r="E73" s="56" t="inlineStr">
        <is>
          <t>US</t>
        </is>
      </c>
      <c r="F73" s="56" t="inlineStr">
        <is>
          <t>Louisiana</t>
        </is>
      </c>
      <c r="G73" s="56" t="inlineStr">
        <is>
          <t>Alexandria</t>
        </is>
      </c>
      <c r="H73" s="54" t="n">
        <v>31.3113</v>
      </c>
      <c r="I73" s="54" t="n">
        <v>-92.4451</v>
      </c>
      <c r="J73" s="56" t="inlineStr">
        <is>
          <t>under_construction</t>
        </is>
      </c>
      <c r="K73" s="56" t="inlineStr">
        <is>
          <t>Rare Earth Elements</t>
        </is>
      </c>
      <c r="L73" s="50" t="n">
        <v>9600</v>
      </c>
      <c r="M73" s="51" t="inlineStr">
        <is>
          <t>t/yr</t>
        </is>
      </c>
      <c r="N73" s="56" t="n"/>
      <c r="O73" s="56" t="n"/>
      <c r="P73" s="56" t="n"/>
      <c r="Q73" s="53" t="inlineStr">
        <is>
          <t>refined</t>
        </is>
      </c>
      <c r="R73" s="56" t="inlineStr">
        <is>
          <t>2846.90</t>
        </is>
      </c>
      <c r="S73" s="56" t="inlineStr">
        <is>
          <t>operator</t>
        </is>
      </c>
      <c r="T73" s="56" t="n">
        <v>1</v>
      </c>
      <c r="U73" s="56" t="inlineStr">
        <is>
          <t>High‑purity RE oxides</t>
        </is>
      </c>
      <c r="V73" s="56" t="inlineStr">
        <is>
          <t xml:space="preserve">[Product: Rare earths → HS 2846.90 (MEDIUM)] </t>
        </is>
      </c>
      <c r="W73" s="2" t="n"/>
      <c r="X73" s="2" t="n"/>
      <c r="Y73" s="2" t="n"/>
      <c r="Z73" s="2" t="n"/>
      <c r="AA73" s="0" t="inlineStr">
        <is>
          <t>NdPr -&gt; NdFeB permanent magnets (xEV traction motors, wind, robotics, defense, electronics); Ce/La -&gt; catalysts, phosphors, polishing, glass; SEG/HREE -&gt; magnet additives (Tb/Dy) and SmCo. [Backfilled 2026-07-07: commodity-level end-use, not per-facility disclosure]</t>
        </is>
      </c>
    </row>
    <row r="74" ht="15.75" customHeight="1" s="74">
      <c r="A74" s="56" t="inlineStr">
        <is>
          <t>South32 Ltd</t>
        </is>
      </c>
      <c r="B74" s="56" t="inlineStr">
        <is>
          <t>AU</t>
        </is>
      </c>
      <c r="C74" s="56" t="inlineStr">
        <is>
          <t>Hermosa Project</t>
        </is>
      </c>
      <c r="D74" s="56" t="inlineStr">
        <is>
          <t>mine</t>
        </is>
      </c>
      <c r="E74" s="56" t="inlineStr">
        <is>
          <t>US</t>
        </is>
      </c>
      <c r="F74" s="56" t="inlineStr">
        <is>
          <t>Arizona</t>
        </is>
      </c>
      <c r="G74" s="56" t="inlineStr">
        <is>
          <t>Patagonia</t>
        </is>
      </c>
      <c r="H74" s="54" t="n">
        <v>31.463702</v>
      </c>
      <c r="I74" s="54" t="n">
        <v>-110.726006</v>
      </c>
      <c r="J74" s="56" t="inlineStr">
        <is>
          <t>under_construction</t>
        </is>
      </c>
      <c r="K74" s="56" t="inlineStr">
        <is>
          <t>Zinc</t>
        </is>
      </c>
      <c r="L74" s="56" t="n"/>
      <c r="M74" s="56" t="n"/>
      <c r="N74" s="56" t="n"/>
      <c r="O74" s="56" t="n"/>
      <c r="P74" s="56" t="n"/>
      <c r="Q74" s="53" t="inlineStr">
        <is>
          <t>concentrate</t>
        </is>
      </c>
      <c r="R74" s="56" t="inlineStr">
        <is>
          <t>2608.00</t>
        </is>
      </c>
      <c r="S74" s="56" t="inlineStr">
        <is>
          <t>operator</t>
        </is>
      </c>
      <c r="T74" s="56" t="n">
        <v>1</v>
      </c>
      <c r="U74" s="56" t="inlineStr">
        <is>
          <t>Concentrate</t>
        </is>
      </c>
      <c r="V74" s="56" t="inlineStr">
        <is>
          <t>[Original product: Zinc, lead, manganese] [Action: Split Zn + Mn (Pb not canonical)]  [MATERIAL LABEL FIX 2026-07-10: was composite 'Zinc, lead, manganese' - loader needs single canonical; polymetallic detail retained in product_end_use/notes.] [HS BACKFILL 2026-07-10: 2608.00 - zinc ores/concentrates; from product_end_use/name evidence, H6+mapping-table verified.]</t>
        </is>
      </c>
      <c r="W74" s="2" t="n"/>
      <c r="X74" s="2" t="n"/>
      <c r="Y74" s="2" t="n"/>
      <c r="Z74" s="2" t="n"/>
      <c r="AA74" s="0" t="inlineStr">
        <is>
          <t>Zn -&gt; galvanizing; Pb -&gt; lead-acid batteries; Mn -&gt; steel + battery precursor (LMFP/NMC, EMM/HPMSM). [Backfilled 2026-07-07: commodity-level end-use, not per-facility disclosure]</t>
        </is>
      </c>
    </row>
    <row r="75" ht="15.75" customHeight="1" s="74">
      <c r="A75" s="56" t="inlineStr">
        <is>
          <t>Pilbara Minerals Ltd.</t>
        </is>
      </c>
      <c r="B75" s="56" t="inlineStr">
        <is>
          <t>AU</t>
        </is>
      </c>
      <c r="C75" s="56" t="inlineStr">
        <is>
          <t>Pilgangoora Operation</t>
        </is>
      </c>
      <c r="D75" s="56" t="inlineStr">
        <is>
          <t>integrated</t>
        </is>
      </c>
      <c r="E75" s="56" t="inlineStr">
        <is>
          <t>AU</t>
        </is>
      </c>
      <c r="F75" s="56" t="inlineStr">
        <is>
          <t>Western Australia</t>
        </is>
      </c>
      <c r="G75" s="56" t="inlineStr">
        <is>
          <t>Port Hedland</t>
        </is>
      </c>
      <c r="H75" s="54" t="n">
        <v>-21.05588</v>
      </c>
      <c r="I75" s="54" t="n">
        <v>118.905</v>
      </c>
      <c r="J75" s="56" t="inlineStr">
        <is>
          <t>operating</t>
        </is>
      </c>
      <c r="K75" s="56" t="inlineStr">
        <is>
          <t>Lithium</t>
        </is>
      </c>
      <c r="L75" s="50" t="n">
        <v>680000</v>
      </c>
      <c r="M75" s="51" t="inlineStr">
        <is>
          <t>t/yr</t>
        </is>
      </c>
      <c r="N75" s="56" t="n"/>
      <c r="O75" s="56" t="n"/>
      <c r="P75" s="56" t="n"/>
      <c r="Q75" s="53" t="inlineStr">
        <is>
          <t>concentrate</t>
        </is>
      </c>
      <c r="R75" s="56" t="inlineStr">
        <is>
          <t>2530.90</t>
        </is>
      </c>
      <c r="S75" s="56" t="inlineStr">
        <is>
          <t>operator</t>
        </is>
      </c>
      <c r="T75" s="56" t="n">
        <v>1</v>
      </c>
      <c r="U75" s="56" t="inlineStr">
        <is>
          <t>Spodumene concentrate</t>
        </is>
      </c>
      <c r="V75" s="56" t="inlineStr">
        <is>
          <t>[facility_type normalized "Mine &amp; processing"-&gt;"integrated" 2026-07-07 per extended FacilityType enum] [HS BACKFILL 2026-07-10: 2530.90 - spodumene/lepidolite concentrate; from product_end_use/name evidence, H6+mapping-table verified.]</t>
        </is>
      </c>
      <c r="W75" s="2" t="n"/>
      <c r="X75" s="2" t="n"/>
      <c r="Y75" s="2" t="n"/>
      <c r="Z75" s="2" t="n"/>
      <c r="AA75"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76" ht="15.75" customHeight="1" s="74">
      <c r="A76" s="56" t="inlineStr">
        <is>
          <t>China Minmetals Corporation</t>
        </is>
      </c>
      <c r="B76" s="56" t="inlineStr">
        <is>
          <t>CN</t>
        </is>
      </c>
      <c r="C76" s="56" t="inlineStr">
        <is>
          <t>Various (multi‑site SOE portfolio)</t>
        </is>
      </c>
      <c r="D76" s="56" t="inlineStr">
        <is>
          <t>integrated</t>
        </is>
      </c>
      <c r="E76" s="56" t="inlineStr">
        <is>
          <t>CN</t>
        </is>
      </c>
      <c r="F76" s="56" t="inlineStr">
        <is>
          <t>—</t>
        </is>
      </c>
      <c r="G76" s="56" t="inlineStr">
        <is>
          <t>—</t>
        </is>
      </c>
      <c r="H76" s="54" t="inlineStr">
        <is>
          <t>—</t>
        </is>
      </c>
      <c r="I76" s="54" t="inlineStr">
        <is>
          <t>—</t>
        </is>
      </c>
      <c r="J76" s="56" t="inlineStr">
        <is>
          <t>operating</t>
        </is>
      </c>
      <c r="K76" s="56" t="inlineStr">
        <is>
          <t>Rare Earth Elements</t>
        </is>
      </c>
      <c r="L76" s="56" t="n"/>
      <c r="M76" s="56" t="n"/>
      <c r="N76" s="56" t="n"/>
      <c r="O76" s="56" t="n"/>
      <c r="P76" s="56" t="n"/>
      <c r="Q76" s="53" t="n"/>
      <c r="R76" s="56" t="inlineStr">
        <is>
          <t>2846.90</t>
        </is>
      </c>
      <c r="S76" s="56" t="inlineStr">
        <is>
          <t>operator</t>
        </is>
      </c>
      <c r="T76" s="56" t="n"/>
      <c r="U76" s="56" t="inlineStr">
        <is>
          <t>Metals &amp; concentrates</t>
        </is>
      </c>
      <c r="V76" s="56" t="inlineStr">
        <is>
          <t>[Original product: Rare earths, copper, nickel, etc.] [Action: Split per material]  [stage normalized "Mixed"-&gt;"None" 2026-07-07: portfolio placeholder (China Minmetals multi-site) - no single output form; EXCLUDE from stage HHI until split into per-facility rows] [facility_type normalized "Mining / smelting / refining"-&gt;"integrated" 2026-07-07 per extended FacilityType enum] [MATERIAL LABEL FIX 2026-07-10: was 'Rare earths, copper, nickel, etc.' -&gt; 'Rare Earth Elements'. REE primary per row intent.] [OWNERSHIP FIX 2026-07-10: pct was free text 'SOE' -&gt; blank; ownership_type retained.] [HS BACKFILL 2026-07-10: 2846.90 - separated RE compounds; from product_end_use/name evidence, H6+mapping-table verified.]</t>
        </is>
      </c>
      <c r="W76" s="2" t="n"/>
      <c r="X76" s="2" t="n"/>
      <c r="Y76" s="2" t="n"/>
      <c r="Z76" s="2" t="n"/>
      <c r="AA76" s="0" t="inlineStr">
        <is>
          <t>Multi-stream refining: REE -&gt; magnets; Cu/Ni -&gt; electrical + battery cathode supply chains. [Backfilled 2026-07-07: commodity-level end-use, not per-facility disclosure]</t>
        </is>
      </c>
    </row>
    <row r="77" ht="15.75" customHeight="1" s="74">
      <c r="A77" s="56" t="inlineStr">
        <is>
          <t>Critical Minerals Group</t>
        </is>
      </c>
      <c r="B77" s="56" t="inlineStr">
        <is>
          <t>AU</t>
        </is>
      </c>
      <c r="C77" s="56" t="inlineStr">
        <is>
          <t>Lindfield Project</t>
        </is>
      </c>
      <c r="D77" s="56" t="inlineStr">
        <is>
          <t>mine</t>
        </is>
      </c>
      <c r="E77" s="56" t="inlineStr">
        <is>
          <t>AU</t>
        </is>
      </c>
      <c r="F77" s="56" t="inlineStr">
        <is>
          <t>Queensland</t>
        </is>
      </c>
      <c r="G77" s="56" t="inlineStr">
        <is>
          <t>Winton region</t>
        </is>
      </c>
      <c r="H77" s="54" t="n">
        <v>-20.718</v>
      </c>
      <c r="I77" s="54" t="n">
        <v>141.73</v>
      </c>
      <c r="J77" s="56" t="inlineStr">
        <is>
          <t>under_construction</t>
        </is>
      </c>
      <c r="K77" s="56" t="inlineStr">
        <is>
          <t>Vanadium</t>
        </is>
      </c>
      <c r="L77" s="56" t="n"/>
      <c r="M77" s="56" t="n"/>
      <c r="N77" s="56" t="n"/>
      <c r="O77" s="56" t="n"/>
      <c r="P77" s="56" t="n"/>
      <c r="Q77" s="53" t="inlineStr">
        <is>
          <t>concentrate</t>
        </is>
      </c>
      <c r="R77" s="56" t="inlineStr">
        <is>
          <t>2615.90</t>
        </is>
      </c>
      <c r="S77" s="56" t="inlineStr">
        <is>
          <t>operator</t>
        </is>
      </c>
      <c r="T77" s="56" t="n">
        <v>1</v>
      </c>
      <c r="U77" s="56" t="inlineStr">
        <is>
          <t>Concentrate</t>
        </is>
      </c>
      <c r="V77" s="56" t="inlineStr">
        <is>
          <t>[Original product: Vanadium, titanium] [Action: Split V + Ti rows]  [MATERIAL LABEL FIX 2026-07-10: was composite 'Vanadium, titanium' - loader needs single canonical; polymetallic detail retained in product_end_use/notes.] [HS BACKFILL 2026-07-10: 2615.90 - V-bearing ore/concentrate; from product_end_use/name evidence, H6+mapping-table verified.]</t>
        </is>
      </c>
      <c r="W77" s="2" t="n"/>
      <c r="X77" s="2" t="n"/>
      <c r="Y77" s="2" t="n"/>
      <c r="Z77" s="2" t="n"/>
      <c r="AA77" s="0" t="inlineStr">
        <is>
          <t>V -&gt; steel alloys + vanadium redox flow batteries (ESS); Ti -&gt; pigment/aerospace. [Backfilled 2026-07-07: commodity-level end-use, not per-facility disclosure]</t>
        </is>
      </c>
    </row>
    <row r="78" ht="15.75" customHeight="1" s="74">
      <c r="A78" s="56" t="inlineStr">
        <is>
          <t>ReElement Technologies Corp.</t>
        </is>
      </c>
      <c r="B78" s="56" t="inlineStr">
        <is>
          <t>US</t>
        </is>
      </c>
      <c r="C78" s="56" t="inlineStr">
        <is>
          <t>Noblesville Refinery</t>
        </is>
      </c>
      <c r="D78" s="56" t="inlineStr">
        <is>
          <t>refinery</t>
        </is>
      </c>
      <c r="E78" s="56" t="inlineStr">
        <is>
          <t>US</t>
        </is>
      </c>
      <c r="F78" s="56" t="inlineStr">
        <is>
          <t>Indiana</t>
        </is>
      </c>
      <c r="G78" s="56" t="inlineStr">
        <is>
          <t>Noblesville</t>
        </is>
      </c>
      <c r="H78" s="54" t="n">
        <v>40.0456</v>
      </c>
      <c r="I78" s="54" t="n">
        <v>-86.0086</v>
      </c>
      <c r="J78" s="56" t="inlineStr">
        <is>
          <t>operating</t>
        </is>
      </c>
      <c r="K78" s="56" t="inlineStr">
        <is>
          <t>Rare Earth Elements</t>
        </is>
      </c>
      <c r="L78" s="51" t="n">
        <v>200</v>
      </c>
      <c r="M78" s="51" t="inlineStr">
        <is>
          <t>t/yr</t>
        </is>
      </c>
      <c r="N78" s="56" t="n"/>
      <c r="O78" s="56" t="n"/>
      <c r="P78" s="56" t="n"/>
      <c r="Q78" s="53" t="inlineStr">
        <is>
          <t>intermediate</t>
        </is>
      </c>
      <c r="R78" s="56" t="inlineStr">
        <is>
          <t>2846.90</t>
        </is>
      </c>
      <c r="S78" s="56" t="inlineStr">
        <is>
          <t>operator</t>
        </is>
      </c>
      <c r="T78" s="56" t="n">
        <v>1</v>
      </c>
      <c r="U78" s="56" t="inlineStr">
        <is>
          <t>RE oxides; battery intermediates</t>
        </is>
      </c>
      <c r="V78" s="56" t="inlineStr">
        <is>
          <t>[Original product: Rare earths; battery materials] [Action: Split per material]  [MATERIAL LABEL FIX 2026-07-10: was 'Rare earths; battery materials' -&gt; 'Rare Earth Elements'. REE primary.] [HS BACKFILL 2026-07-10: 2846.90 - separated RE compounds; from product_end_use/name evidence, H6+mapping-table verified.]</t>
        </is>
      </c>
      <c r="W78" s="2" t="n"/>
      <c r="X78" s="2" t="n"/>
      <c r="Y78" s="2" t="n"/>
      <c r="Z78" s="2" t="n"/>
      <c r="AA78" s="0" t="inlineStr">
        <is>
          <t>REE separation -&gt; magnet supply chain; battery-materials refining -&gt; cathode/anode feed. [Backfilled 2026-07-07: commodity-level end-use, not per-facility disclosure]</t>
        </is>
      </c>
    </row>
    <row r="79" ht="15.75" customHeight="1" s="74">
      <c r="A79" s="56" t="inlineStr">
        <is>
          <t>ReElement Technologies Corp.</t>
        </is>
      </c>
      <c r="B79" s="56" t="inlineStr">
        <is>
          <t>US</t>
        </is>
      </c>
      <c r="C79" s="56" t="inlineStr">
        <is>
          <t>Marion Facility</t>
        </is>
      </c>
      <c r="D79" s="51" t="inlineStr">
        <is>
          <t>refinery</t>
        </is>
      </c>
      <c r="E79" s="56" t="inlineStr">
        <is>
          <t>US</t>
        </is>
      </c>
      <c r="F79" s="56" t="inlineStr">
        <is>
          <t>Indiana</t>
        </is>
      </c>
      <c r="G79" s="56" t="inlineStr">
        <is>
          <t>Marion</t>
        </is>
      </c>
      <c r="H79" s="54" t="n">
        <v>40.5584</v>
      </c>
      <c r="I79" s="54" t="n">
        <v>-85.6591</v>
      </c>
      <c r="J79" s="56" t="inlineStr">
        <is>
          <t>operating</t>
        </is>
      </c>
      <c r="K79" s="56" t="inlineStr">
        <is>
          <t>Rare Earth Elements</t>
        </is>
      </c>
      <c r="L79" s="25" t="n"/>
      <c r="M79" s="56" t="n"/>
      <c r="N79" s="56" t="n"/>
      <c r="O79" s="56" t="n"/>
      <c r="P79" s="56" t="n"/>
      <c r="Q79" s="53" t="inlineStr">
        <is>
          <t>intermediate</t>
        </is>
      </c>
      <c r="R79" s="56" t="inlineStr">
        <is>
          <t>2846.90</t>
        </is>
      </c>
      <c r="S79" s="56" t="inlineStr">
        <is>
          <t>operator</t>
        </is>
      </c>
      <c r="T79" s="56" t="n">
        <v>1</v>
      </c>
      <c r="U79" s="56" t="inlineStr">
        <is>
          <t>Battery‑grade materials</t>
        </is>
      </c>
      <c r="V79" s="56" t="inlineStr">
        <is>
          <t>[Original product: Rare earths; lithium‑ion materials] [Action: Split per material]  [MATERIAL LABEL FIX 2026-07-10: was 'Rare earths; lithium‑ion materials' -&gt; 'Rare Earth Elements'. REE primary.] [HS BACKFILL 2026-07-10: 2846.90 - separated RE compounds; from product_end_use/name evidence, H6+mapping-table verified.]</t>
        </is>
      </c>
      <c r="W79" s="2" t="n"/>
      <c r="X79" s="2" t="n"/>
      <c r="Y79" s="2" t="n"/>
      <c r="Z79" s="2" t="n"/>
      <c r="AA79" s="0" t="inlineStr">
        <is>
          <t>REE separation -&gt; magnet supply chain; Li-ion materials recycling/refining -&gt; cathode feed. [Backfilled 2026-07-07: commodity-level end-use, not per-facility disclosure]</t>
        </is>
      </c>
    </row>
    <row r="80" ht="15.75" customHeight="1" s="74">
      <c r="A80" s="79" t="inlineStr">
        <is>
          <t>Vale S.A.</t>
        </is>
      </c>
      <c r="B80" s="79" t="inlineStr">
        <is>
          <t>BR</t>
        </is>
      </c>
      <c r="C80" s="79" t="inlineStr">
        <is>
          <t>Tubarão Pellet Complex</t>
        </is>
      </c>
      <c r="D80" s="79" t="inlineStr">
        <is>
          <t>processing</t>
        </is>
      </c>
      <c r="E80" s="79" t="inlineStr">
        <is>
          <t>BR</t>
        </is>
      </c>
      <c r="F80" s="79" t="inlineStr">
        <is>
          <t>Espírito Santo</t>
        </is>
      </c>
      <c r="G80" s="79" t="inlineStr">
        <is>
          <t>Vitória</t>
        </is>
      </c>
      <c r="H80" s="79" t="n">
        <v>-20.27</v>
      </c>
      <c r="I80" s="79" t="n">
        <v>-40.24</v>
      </c>
      <c r="J80" s="79" t="inlineStr">
        <is>
          <t>operating</t>
        </is>
      </c>
      <c r="K80" s="79" t="inlineStr">
        <is>
          <t>Iron Ore</t>
        </is>
      </c>
      <c r="L80" s="79" t="n">
        <v>30.8</v>
      </c>
      <c r="M80" s="79" t="inlineStr">
        <is>
          <t>mt/yr</t>
        </is>
      </c>
      <c r="N80" s="2" t="n"/>
      <c r="O80" s="55" t="n"/>
      <c r="P80" s="79" t="inlineStr">
        <is>
          <t>TRUE</t>
        </is>
      </c>
      <c r="Q80" s="79" t="inlineStr">
        <is>
          <t>concentrate</t>
        </is>
      </c>
      <c r="R80" s="79" t="inlineStr">
        <is>
          <t>2601.12</t>
        </is>
      </c>
      <c r="S80" s="79" t="inlineStr">
        <is>
          <t>operator</t>
        </is>
      </c>
      <c r="T80" s="79" t="n">
        <v>1</v>
      </c>
      <c r="U80" s="79" t="inlineStr">
        <is>
          <t>https://www.sec.gov/cgi-bin/browse-edgar?action=getcompany&amp;CIK=0000917851&amp;type=20-F</t>
        </is>
      </c>
      <c r="V80" s="79" t="inlineStr">
        <is>
          <t>5 PELLET PLANTS on Tubarão site: Vale Tubarão VIII (100% Vale), Itabrasco (50.9% Vale, others = Japanese steelmakers), Hispanobras (50.9% Vale, others = Spanish/Brazilian), Kobrasco (50% Vale), 2 Nibrasco plants (51% Vale). 30.8 Mtpy nominal; environmental operating license allows 36.2 Mtpy. Receives ore from Southeastern System. LEASE EXPIRATIONS (operating leases for non-100%-owned plants): Hispanobras Dec 2026, Itabrasco June 2027, Nibrasco Dec 2028, Kobrasco Aug 2033. Multiple near-term lease renewal exposure (Hispanobras first). Logistics: Vale Tubarão maritime terminal (own port). *** VALE 20-F Sec 1.1.4.2 (p.57): Total FY25 pellet production 31.4 Mt (Blast Furnace 16.1 + Direct Reduction 15.2) across all 5 owned pellet plants (Oman, Vargem Grande, São Luis, Tubarão + 5 leased plants in Brazil). Per-plant production NOT disclosed by Vale.</t>
        </is>
      </c>
      <c r="W80" s="2" t="n"/>
      <c r="X80" s="2" t="n"/>
      <c r="Y80" s="2" t="n"/>
      <c r="Z80" s="2" t="n"/>
      <c r="AA80" s="79" t="inlineStr">
        <is>
          <t>Blast Furnace (BF) iron ore pellets for steelmaking (primarily Brazilian + Asian/Japanese markets). NOT battery-grade.</t>
        </is>
      </c>
    </row>
    <row r="81" ht="15.75" customHeight="1" s="74">
      <c r="A81" s="79" t="inlineStr">
        <is>
          <t>Vale S.A.</t>
        </is>
      </c>
      <c r="B81" s="79" t="inlineStr">
        <is>
          <t>BR</t>
        </is>
      </c>
      <c r="C81" s="79" t="inlineStr">
        <is>
          <t>Fábrica Pellet Plant</t>
        </is>
      </c>
      <c r="D81" s="79" t="inlineStr">
        <is>
          <t>processing</t>
        </is>
      </c>
      <c r="E81" s="79" t="inlineStr">
        <is>
          <t>BR</t>
        </is>
      </c>
      <c r="F81" s="79" t="inlineStr">
        <is>
          <t>Minas Gerais</t>
        </is>
      </c>
      <c r="G81" s="2" t="n"/>
      <c r="H81" s="2" t="n"/>
      <c r="I81" s="2" t="n"/>
      <c r="J81" s="79" t="inlineStr">
        <is>
          <t>care_maintenance</t>
        </is>
      </c>
      <c r="K81" s="79" t="inlineStr">
        <is>
          <t>Iron Ore</t>
        </is>
      </c>
      <c r="L81" s="79" t="n">
        <v>4.5</v>
      </c>
      <c r="M81" s="79" t="inlineStr">
        <is>
          <t>mt/yr</t>
        </is>
      </c>
      <c r="N81" s="2" t="n"/>
      <c r="O81" s="55" t="n"/>
      <c r="P81" s="79" t="inlineStr">
        <is>
          <t>TRUE</t>
        </is>
      </c>
      <c r="Q81" s="79" t="inlineStr">
        <is>
          <t>concentrate</t>
        </is>
      </c>
      <c r="R81" s="79" t="inlineStr">
        <is>
          <t>2601.12</t>
        </is>
      </c>
      <c r="S81" s="79" t="inlineStr">
        <is>
          <t>operator</t>
        </is>
      </c>
      <c r="T81" s="79" t="n">
        <v>1</v>
      </c>
      <c r="U81" s="79" t="inlineStr">
        <is>
          <t>https://www.sec.gov/cgi-bin/browse-edgar?action=getcompany&amp;CIK=0000917851&amp;type=20-F</t>
        </is>
      </c>
      <c r="V81" s="79" t="inlineStr">
        <is>
          <t>*** OPERATIONS SUSPENDED SINCE FEBRUARY 2019 *** (post-Brumadinho). 100% Vale. Part of Southern System. Received iron ore from Paraopeba complex + third-party purchases. Status: care_maintenance, restart pending. *** VALE 20-F: production bundled into 31.4 Mt total FY25 aggregate. One of 5 leased plants in Brazil.</t>
        </is>
      </c>
      <c r="W81" s="2" t="n"/>
      <c r="X81" s="2" t="n"/>
      <c r="Y81" s="2" t="n"/>
      <c r="Z81" s="2" t="n"/>
      <c r="AA81" s="79" t="inlineStr">
        <is>
          <t>Iron ore pellets for steelmaking (suspended). NOT battery-grade.</t>
        </is>
      </c>
    </row>
    <row r="82" ht="15.75" customHeight="1" s="74">
      <c r="A82" s="79" t="inlineStr">
        <is>
          <t>Vale S.A.</t>
        </is>
      </c>
      <c r="B82" s="79" t="inlineStr">
        <is>
          <t>BR</t>
        </is>
      </c>
      <c r="C82" s="79" t="inlineStr">
        <is>
          <t>Vargem Grande Pellet Plant</t>
        </is>
      </c>
      <c r="D82" s="79" t="inlineStr">
        <is>
          <t>processing</t>
        </is>
      </c>
      <c r="E82" s="79" t="inlineStr">
        <is>
          <t>BR</t>
        </is>
      </c>
      <c r="F82" s="79" t="inlineStr">
        <is>
          <t>Minas Gerais</t>
        </is>
      </c>
      <c r="G82" s="2" t="n"/>
      <c r="H82" s="2" t="n"/>
      <c r="I82" s="2" t="n"/>
      <c r="J82" s="79" t="inlineStr">
        <is>
          <t>operating</t>
        </is>
      </c>
      <c r="K82" s="79" t="inlineStr">
        <is>
          <t>Iron Ore</t>
        </is>
      </c>
      <c r="L82" s="79" t="n">
        <v>7</v>
      </c>
      <c r="M82" s="79" t="inlineStr">
        <is>
          <t>mt/yr</t>
        </is>
      </c>
      <c r="N82" s="2" t="n"/>
      <c r="O82" s="55" t="n"/>
      <c r="P82" s="79" t="inlineStr">
        <is>
          <t>TRUE</t>
        </is>
      </c>
      <c r="Q82" s="79" t="inlineStr">
        <is>
          <t>concentrate</t>
        </is>
      </c>
      <c r="R82" s="79" t="inlineStr">
        <is>
          <t>2601.12</t>
        </is>
      </c>
      <c r="S82" s="79" t="inlineStr">
        <is>
          <t>operator</t>
        </is>
      </c>
      <c r="T82" s="79" t="n">
        <v>1</v>
      </c>
      <c r="U82" s="79" t="inlineStr">
        <is>
          <t>https://www.sec.gov/cgi-bin/browse-edgar?action=getcompany&amp;CIK=0000917851&amp;type=20-F</t>
        </is>
      </c>
      <c r="V82" s="79" t="inlineStr">
        <is>
          <t>100% Vale. Part of Southern System. Receives iron ore from Vargem Grande complex. Logistics: MRS rail for output. *** VALE 20-F: production bundled into 31.4 Mt total FY25 aggregate.</t>
        </is>
      </c>
      <c r="W82" s="2" t="n"/>
      <c r="X82" s="2" t="n"/>
      <c r="Y82" s="2" t="n"/>
      <c r="Z82" s="2" t="n"/>
      <c r="AA82" s="79" t="inlineStr">
        <is>
          <t>Iron ore pellets for steelmaking (BF + DR mix). NOT battery-grade.</t>
        </is>
      </c>
    </row>
    <row r="83" ht="15.75" customHeight="1" s="74">
      <c r="A83" s="79" t="inlineStr">
        <is>
          <t>Vale S.A.</t>
        </is>
      </c>
      <c r="B83" s="79" t="inlineStr">
        <is>
          <t>BR</t>
        </is>
      </c>
      <c r="C83" s="79" t="inlineStr">
        <is>
          <t>São Luís Pellet Plant</t>
        </is>
      </c>
      <c r="D83" s="79" t="inlineStr">
        <is>
          <t>processing</t>
        </is>
      </c>
      <c r="E83" s="79" t="inlineStr">
        <is>
          <t>BR</t>
        </is>
      </c>
      <c r="F83" s="79" t="inlineStr">
        <is>
          <t>Maranhão</t>
        </is>
      </c>
      <c r="G83" s="79" t="inlineStr">
        <is>
          <t>São Luís</t>
        </is>
      </c>
      <c r="H83" s="2" t="n"/>
      <c r="I83" s="2" t="n"/>
      <c r="J83" s="79" t="inlineStr">
        <is>
          <t>operating</t>
        </is>
      </c>
      <c r="K83" s="79" t="inlineStr">
        <is>
          <t>Iron Ore</t>
        </is>
      </c>
      <c r="L83" s="79" t="n">
        <v>7.5</v>
      </c>
      <c r="M83" s="79" t="inlineStr">
        <is>
          <t>mt/yr</t>
        </is>
      </c>
      <c r="N83" s="2" t="n"/>
      <c r="O83" s="55" t="n"/>
      <c r="P83" s="79" t="inlineStr">
        <is>
          <t>TRUE</t>
        </is>
      </c>
      <c r="Q83" s="79" t="inlineStr">
        <is>
          <t>concentrate</t>
        </is>
      </c>
      <c r="R83" s="79" t="inlineStr">
        <is>
          <t>2601.12</t>
        </is>
      </c>
      <c r="S83" s="79" t="inlineStr">
        <is>
          <t>operator</t>
        </is>
      </c>
      <c r="T83" s="79" t="n">
        <v>1</v>
      </c>
      <c r="U83" s="79" t="inlineStr">
        <is>
          <t>https://www.sec.gov/cgi-bin/browse-edgar?action=getcompany&amp;CIK=0000917851&amp;type=20-F</t>
        </is>
      </c>
      <c r="V83" s="79" t="inlineStr">
        <is>
          <t>100% Vale. Part of Northern System. Receives ore from Carajás mines via EFC railroad. Logistics: Ponta da Madeira maritime terminal. *** VALE 20-F: production bundled into 31.4 Mt total FY25 aggregate.</t>
        </is>
      </c>
      <c r="W83" s="2" t="n"/>
      <c r="X83" s="2" t="n"/>
      <c r="Y83" s="2" t="n"/>
      <c r="Z83" s="2" t="n"/>
      <c r="AA83" s="79" t="inlineStr">
        <is>
          <t>Iron ore pellets for steelmaking (mix). NOT battery-grade.</t>
        </is>
      </c>
    </row>
    <row r="84" ht="15.75" customHeight="1" s="74">
      <c r="A84" s="79" t="inlineStr">
        <is>
          <t>Vale S.A.</t>
        </is>
      </c>
      <c r="B84" s="79" t="inlineStr">
        <is>
          <t>BR</t>
        </is>
      </c>
      <c r="C84" s="79" t="inlineStr">
        <is>
          <t>Vale Oman Pelletizing Complex (VOPC)</t>
        </is>
      </c>
      <c r="D84" s="79" t="inlineStr">
        <is>
          <t>processing</t>
        </is>
      </c>
      <c r="E84" s="79" t="inlineStr">
        <is>
          <t>OM</t>
        </is>
      </c>
      <c r="F84" s="79" t="inlineStr">
        <is>
          <t>Al Batinah</t>
        </is>
      </c>
      <c r="G84" s="79" t="inlineStr">
        <is>
          <t>Sohar</t>
        </is>
      </c>
      <c r="H84" s="79" t="n">
        <v>24.34</v>
      </c>
      <c r="I84" s="79" t="n">
        <v>56.74</v>
      </c>
      <c r="J84" s="79" t="inlineStr">
        <is>
          <t>operating</t>
        </is>
      </c>
      <c r="K84" s="79" t="inlineStr">
        <is>
          <t>Iron Ore</t>
        </is>
      </c>
      <c r="L84" s="79" t="n">
        <v>9</v>
      </c>
      <c r="M84" s="79" t="inlineStr">
        <is>
          <t>mt/yr</t>
        </is>
      </c>
      <c r="N84" s="2" t="n"/>
      <c r="O84" s="55" t="n"/>
      <c r="P84" s="79" t="inlineStr">
        <is>
          <t>TRUE</t>
        </is>
      </c>
      <c r="Q84" s="79" t="inlineStr">
        <is>
          <t>concentrate</t>
        </is>
      </c>
      <c r="R84" s="79" t="inlineStr">
        <is>
          <t>2601.12</t>
        </is>
      </c>
      <c r="S84" s="79" t="inlineStr">
        <is>
          <t>operator</t>
        </is>
      </c>
      <c r="T84" s="79" t="n">
        <v>1</v>
      </c>
      <c r="U84" s="79" t="inlineStr">
        <is>
          <t>https://www.sec.gov/cgi-bin/browse-edgar?action=getcompany&amp;CIK=0000917851&amp;type=20-F</t>
        </is>
      </c>
      <c r="V84" s="79" t="inlineStr">
        <is>
          <t>100% Vale via Vale Oman Pelletizing Company LLC (VOPC). 2 pellet plants. Includes integrated 40 Mtpy distribution center / maritime terminal. Receives iron ore from Iron Quadrangle (via Tubarão port) AND Carajás (via Ponta da Madeira). Strategic location for Middle East + European DR-grade market. ONLY non-BR Vale iron ore facility. *** VALE 20-F: production bundled into 31.4 Mt total FY25 aggregate. Oman plant.</t>
        </is>
      </c>
      <c r="W84" s="2" t="n"/>
      <c r="X84" s="2" t="n"/>
      <c r="Y84" s="2" t="n"/>
      <c r="Z84" s="2" t="n"/>
      <c r="AA84" s="79" t="inlineStr">
        <is>
          <t>Direct Reduction (DR) iron ore pellets for Middle East + European steelmakers transitioning to green steel. NOT battery-grade.</t>
        </is>
      </c>
    </row>
    <row r="85" ht="15.75" customHeight="1" s="74">
      <c r="A85" s="83" t="inlineStr">
        <is>
          <t>Vale S.A.</t>
        </is>
      </c>
      <c r="B85" s="79" t="inlineStr">
        <is>
          <t>BR</t>
        </is>
      </c>
      <c r="C85" s="79" t="inlineStr">
        <is>
          <t>Tubarão Industrial Briquette Plant</t>
        </is>
      </c>
      <c r="D85" s="79" t="inlineStr">
        <is>
          <t>processing</t>
        </is>
      </c>
      <c r="E85" s="79" t="inlineStr">
        <is>
          <t>BR</t>
        </is>
      </c>
      <c r="F85" s="79" t="inlineStr">
        <is>
          <t>Espírito Santo</t>
        </is>
      </c>
      <c r="G85" s="79" t="inlineStr">
        <is>
          <t>Vitória</t>
        </is>
      </c>
      <c r="H85" s="79" t="n">
        <v>-20.27</v>
      </c>
      <c r="I85" s="79" t="n">
        <v>-40.24</v>
      </c>
      <c r="J85" s="79" t="inlineStr">
        <is>
          <t>operating</t>
        </is>
      </c>
      <c r="K85" s="79" t="inlineStr">
        <is>
          <t>Iron Ore</t>
        </is>
      </c>
      <c r="L85" s="79" t="n">
        <v>2</v>
      </c>
      <c r="M85" s="79" t="inlineStr">
        <is>
          <t>mt/yr</t>
        </is>
      </c>
      <c r="N85" s="2" t="n"/>
      <c r="O85" s="2" t="n"/>
      <c r="P85" s="79" t="inlineStr">
        <is>
          <t>TRUE</t>
        </is>
      </c>
      <c r="Q85" s="79" t="inlineStr">
        <is>
          <t>concentrate</t>
        </is>
      </c>
      <c r="R85" s="79" t="inlineStr">
        <is>
          <t>2601</t>
        </is>
      </c>
      <c r="S85" s="79" t="inlineStr">
        <is>
          <t>operator</t>
        </is>
      </c>
      <c r="T85" s="79" t="n">
        <v>1</v>
      </c>
      <c r="U85" s="79" t="inlineStr">
        <is>
          <t>https://www.sec.gov/cgi-bin/browse-edgar?action=getcompany&amp;CIK=0000917851&amp;type=20-F</t>
        </is>
      </c>
      <c r="V85" s="79" t="inlineStr">
        <is>
          <t>FIRST industrial-scale briquette plant. Commissioned Dec 2023. 100% Vale. BREAKTHROUGH TECH: 18 years in-house R&amp;D, patented by Vale. Low temp (~250°C) vs traditional agglomeration (~1300°C) = -80% CO2 emissions in production. Customer benefit: -10% GHG in steel production chain. Multiple industrial trials since 2019. Strategic agglomerates portfolio differentiator. *** VALE 20-F Sec 1.1.4.3 (p.57): 2 Mtpy nameplate capacity (industrial briquettes since Dec 2023). Production not itemized.</t>
        </is>
      </c>
      <c r="W85" s="79" t="n">
        <v>2023</v>
      </c>
      <c r="X85" s="2" t="n"/>
      <c r="Y85" s="2" t="n"/>
      <c r="Z85" s="2" t="n"/>
      <c r="AA85" s="79" t="inlineStr">
        <is>
          <t>Iron ore briquettes for blast furnace decarbonization. Low-CO2 alternative to lump/pellets/sinter. NOT battery-grade.</t>
        </is>
      </c>
    </row>
    <row r="86" ht="15.75" customHeight="1" s="74">
      <c r="A86" s="79" t="inlineStr">
        <is>
          <t>Vale S.A.</t>
        </is>
      </c>
      <c r="B86" s="79" t="inlineStr">
        <is>
          <t>BR</t>
        </is>
      </c>
      <c r="C86" s="79" t="inlineStr">
        <is>
          <t>Tubarão Mobile Briquette Plant</t>
        </is>
      </c>
      <c r="D86" s="79" t="inlineStr">
        <is>
          <t>r_and_d</t>
        </is>
      </c>
      <c r="E86" s="79" t="inlineStr">
        <is>
          <t>BR</t>
        </is>
      </c>
      <c r="F86" s="79" t="inlineStr">
        <is>
          <t>Espírito Santo</t>
        </is>
      </c>
      <c r="G86" s="79" t="inlineStr">
        <is>
          <t>Vitória</t>
        </is>
      </c>
      <c r="H86" s="79" t="n">
        <v>-20.27</v>
      </c>
      <c r="I86" s="79" t="n">
        <v>-40.24</v>
      </c>
      <c r="J86" s="79" t="inlineStr">
        <is>
          <t>operating</t>
        </is>
      </c>
      <c r="K86" s="79" t="inlineStr">
        <is>
          <t>Iron Ore</t>
        </is>
      </c>
      <c r="L86" s="79" t="n">
        <v>0.0002</v>
      </c>
      <c r="M86" s="79" t="inlineStr">
        <is>
          <t>mt/yr</t>
        </is>
      </c>
      <c r="N86" s="2" t="n"/>
      <c r="O86" s="55" t="n"/>
      <c r="P86" s="79" t="inlineStr">
        <is>
          <t>FALSE</t>
        </is>
      </c>
      <c r="Q86" s="79" t="inlineStr">
        <is>
          <t>concentrate</t>
        </is>
      </c>
      <c r="R86" s="79" t="inlineStr">
        <is>
          <t>2601</t>
        </is>
      </c>
      <c r="S86" s="79" t="inlineStr">
        <is>
          <t>operator</t>
        </is>
      </c>
      <c r="T86" s="79" t="n">
        <v>1</v>
      </c>
      <c r="U86" s="79" t="inlineStr">
        <is>
          <t>https://www.sec.gov/cgi-bin/browse-edgar?action=getcompany&amp;CIK=0000917851&amp;type=20-F</t>
        </is>
      </c>
      <c r="V86" s="79" t="inlineStr">
        <is>
          <t>0.2 kt/y R&amp;D scale. Commissioned Sep 2024. Enables longer validation programs with steel-mill clients. *** VALE 20-F Sec 1.1.4.3: 0.2 kt/y capacity R&amp;D mobile plant since Sep 2024.</t>
        </is>
      </c>
      <c r="W86" s="79" t="n">
        <v>2024</v>
      </c>
      <c r="X86" s="2" t="n"/>
      <c r="Y86" s="2" t="n"/>
      <c r="Z86" s="2" t="n"/>
      <c r="AA86" s="79" t="inlineStr">
        <is>
          <t>R&amp;D briquette validation programs with customers.</t>
        </is>
      </c>
    </row>
    <row r="87" ht="15.75" customHeight="1" s="74">
      <c r="A87" s="79" t="inlineStr">
        <is>
          <t>Vale S.A.</t>
        </is>
      </c>
      <c r="B87" s="79" t="inlineStr">
        <is>
          <t>BR</t>
        </is>
      </c>
      <c r="C87" s="79" t="inlineStr">
        <is>
          <t>Sudbury Nickel Complex</t>
        </is>
      </c>
      <c r="D87" s="79" t="inlineStr">
        <is>
          <t>mine</t>
        </is>
      </c>
      <c r="E87" s="79" t="inlineStr">
        <is>
          <t>CA</t>
        </is>
      </c>
      <c r="F87" s="79" t="inlineStr">
        <is>
          <t>Ontario</t>
        </is>
      </c>
      <c r="G87" s="79" t="inlineStr">
        <is>
          <t>Sudbury</t>
        </is>
      </c>
      <c r="H87" s="79" t="n">
        <v>46.49</v>
      </c>
      <c r="I87" s="79" t="n">
        <v>-81.06999999999999</v>
      </c>
      <c r="J87" s="79" t="inlineStr">
        <is>
          <t>operating</t>
        </is>
      </c>
      <c r="K87" s="79" t="inlineStr">
        <is>
          <t>Nickel</t>
        </is>
      </c>
      <c r="L87" s="2" t="n"/>
      <c r="M87" s="2" t="n"/>
      <c r="N87" s="79" t="n">
        <v>35.3</v>
      </c>
      <c r="O87" s="79" t="inlineStr">
        <is>
          <t>kt/yr</t>
        </is>
      </c>
      <c r="P87" s="79" t="inlineStr">
        <is>
          <t>TRUE</t>
        </is>
      </c>
      <c r="Q87" s="79" t="inlineStr">
        <is>
          <t>ore</t>
        </is>
      </c>
      <c r="R87" s="79" t="inlineStr">
        <is>
          <t>2604</t>
        </is>
      </c>
      <c r="S87" s="79" t="inlineStr">
        <is>
          <t>operator</t>
        </is>
      </c>
      <c r="T87" s="79" t="n">
        <v>0.9</v>
      </c>
      <c r="U87" s="79" t="inlineStr">
        <is>
          <t>https://www.sec.gov/cgi-bin/browse-edgar?action=getcompany&amp;CIK=0000917851&amp;type=20-F</t>
        </is>
      </c>
      <c r="V87" s="79" t="inlineStr">
        <is>
          <t>*** S-K 1300 MATERIAL PROPERTY — Updated TRS Exhibit 96.3 filed FY2025. *** Production stage SINCE 1885 — 140 years operating! 9,062 ha (172 licenses: 168 patented + 2 mining leases + 1 license of occupation). OWNERSHIP: 100% VBM. VBM = 90% Vale + 10% Manara Minerals (Saudi PIF/Maaden JV — new shareholder). OPERATING MINES: Coleman (46°40'37"N 81°20'21"W), Copper Cliff (46°29'29"N 81°04'05"W), Creighton (46°28'23"N 81°04'05"W), Garson (46°34'02"N 80°51'26"W), Totten (46°22'55"N 81°27'09"W) underground + Stobie (46°32'15"N 80°59'31"W) open pit. NON-PRODUCING: Nickel Rim South Extension (former Victor), Copper Cliff Pit, Ella Capre. PROCESSING: Clarabelle Mill + Copper Cliff Smelter + Copper Cliff Nickel Refinery (CCNR). PGMs/Co/Au/Ag byproducts processed at Port Colborne. NICKEL OXIDE INTERMEDIATE shipped to Clydach (UK) for finished nickel. 2025 PRODUCTION: 4,947 kt ore mined (+29% vs 2024 — record since 2017 single-furnace conversion), 59.5 kt contained Ni in concentrate, 35.3 kt finished nickel. RESERVES (FY2025): 63.4 Mt P+P @ 1.40% Ni, 0.03% Co, 1.54% Cu. Reserves include Coleman + Copper Cliff + Creighton + Garson + Totten underground + Stobie open pit. RESOURCES: 51.3 Mt M+I + 73.3 Mt Inferred. Long-term prices for reserves: Ni $17,625/t, Cu $9,950/t, Co $39,125/t, Pt $1,325/oz, Pd $1,050/oz, Au $2,650/oz. BOOK VALUE: $5,517M. POWER: 70% grid + 30% own hydro (55 MW nameplate). PROJECTS: Copper Cliff Mine Capacity Replacement + Stobie Pit (Copper Cliff South contribution rose 40%→49%, Stobie hit 900 kt ore record). | FY2025 CONSOLIDATED RESERVES TABLE: Reserves FY2025 (90% VBM-adjusted): 63.4 Mt P+P @ 1.40% Ni / 1.54% Cu / 0.03% Co / 1.04 g/t Pt / 1.20 g/t Pd / 0.39 g/t Au. -1.1 Mt vs 2024 (-13.9 Mt downgrade Copper Cliff Pit from economic assumptions + -3.1 Mt depletion, offset by +15.7 Mt design reviews + cut-off reduction). PROJECTED EXHAUSTION: Ni 2046, Cu 2047 (vs 2024 estimate 2047). Long-term prices: Ni $17,625/t, Cu $9,950/t, Co $39,125/t, Pt $1,325/oz, Pd $1,050/oz, Au $2,650/oz. S-K 1300 MATERIAL PROPERTY — TRS Exhibit 96.3 updated FY2025. *** VALE 20-F Sec 2.1.2 Ni Production (p.72): 35.3 kt Ni FY25 (36.2 kt FY24, 38.2 kt FY23). Also 63.7 kt Cu co-product FY25. Sudbury operation reached year record 59.5 kt Ni including feeds since converting to single-furnace operation mid-2017. Sudbury is a MATERIAL PROPERTY per S-K 1300 (updated TRS filed Exhibit 96.3). Copper Cliff South mine now 49% of Complex output. Stobie Pit 900 kt ore FY25.</t>
        </is>
      </c>
      <c r="W87" s="79" t="n">
        <v>1885</v>
      </c>
      <c r="X87" s="79" t="inlineStr">
        <is>
          <t>mixed</t>
        </is>
      </c>
      <c r="Y87" s="2" t="n"/>
      <c r="Z87" s="79" t="n">
        <v>2046</v>
      </c>
      <c r="AA87" s="79" t="inlineStr">
        <is>
          <t>Class I high-purity nickel for EV battery precursor + aerospace/specialty (via Long Harbour refining). NOT stainless-steel-grade dominant. Sulfide ore route. CRITICAL battery-grade asset.</t>
        </is>
      </c>
    </row>
    <row r="88" ht="15.75" customHeight="1" s="74">
      <c r="A88" s="79" t="inlineStr">
        <is>
          <t>Vale S.A.</t>
        </is>
      </c>
      <c r="B88" s="79" t="inlineStr">
        <is>
          <t>BR</t>
        </is>
      </c>
      <c r="C88" s="79" t="inlineStr">
        <is>
          <t>Thompson Nickel Belt</t>
        </is>
      </c>
      <c r="D88" s="79" t="inlineStr">
        <is>
          <t>mine</t>
        </is>
      </c>
      <c r="E88" s="79" t="inlineStr">
        <is>
          <t>CA</t>
        </is>
      </c>
      <c r="F88" s="79" t="inlineStr">
        <is>
          <t>Manitoba</t>
        </is>
      </c>
      <c r="G88" s="79" t="inlineStr">
        <is>
          <t>Thompson</t>
        </is>
      </c>
      <c r="H88" s="79" t="n">
        <v>55.74</v>
      </c>
      <c r="I88" s="79" t="n">
        <v>-97.86</v>
      </c>
      <c r="J88" s="79" t="inlineStr">
        <is>
          <t>operating</t>
        </is>
      </c>
      <c r="K88" s="79" t="inlineStr">
        <is>
          <t>Nickel</t>
        </is>
      </c>
      <c r="L88" s="2" t="n"/>
      <c r="M88" s="2" t="n"/>
      <c r="N88" s="79" t="n">
        <v>12</v>
      </c>
      <c r="O88" s="79" t="inlineStr">
        <is>
          <t>kt/yr</t>
        </is>
      </c>
      <c r="P88" s="79" t="inlineStr">
        <is>
          <t>TRUE</t>
        </is>
      </c>
      <c r="Q88" s="79" t="inlineStr">
        <is>
          <t>ore</t>
        </is>
      </c>
      <c r="R88" s="79" t="inlineStr">
        <is>
          <t>2604</t>
        </is>
      </c>
      <c r="S88" s="79" t="inlineStr">
        <is>
          <t>operator</t>
        </is>
      </c>
      <c r="T88" s="79" t="n">
        <v>0.9</v>
      </c>
      <c r="U88" s="79" t="inlineStr">
        <is>
          <t>https://www.sec.gov/cgi-bin/browse-edgar?action=getcompany&amp;CIK=0000917851&amp;type=20-F</t>
        </is>
      </c>
      <c r="V88" s="79" t="inlineStr">
        <is>
          <t>Production stage since 1961. 17,511 ha. Mining leases expire 2034-2045 (21-yr renewals). OWNERSHIP: 90% Vale (via 100% VBM × 90% Vale/10% Manara). *** PENDING ASSET CHANGE (Feb 2026): VBM agreed to form consortium with Exiro Minerals + Orion Resources + Canada Growth Fund. Partners hold 81.1%, VBM retains 18.9% minority + offtake for Thompson Mill nickel concentrate. Subject to closing by end-2026. *** Underground mining, Ni sulfide w/ Cu+PGMs+Co. 2025: 757 kt ore (12.0 kt Ni). POWER: Manitoba Hydro (provincial). LOGISTICS: Concentrate trucked/railed to Winnipeg → Sudbury (Ontario) or Trois-Rivières (Quebec) → Long Harbour Refinery (Newfoundland). | FY2025 CONSOLIDATED RESERVES TABLE: *** RESERVES FY2025: 0.0 Mt P+P — NONE REPORTED *** Vale notes: "We continue to operate and produce from our mine in Thompson; however, we currently do not have mineral reserves for this property." Resources (90% VBM-adjusted): 16.2 Mt M+I @ 1.93% Ni + 20.3 Mt Inferred @ 0.9% Ni. OPERATING ON RESOURCES ONLY — major depletion risk. Likely explains Feb 2026 consortium agreement to drop VBM stake to 18.9%. *** VALE 20-F Sec 2.1.2 Ni Production: 12.0 kt Ni FY25 (up from 10.1 kt FY24, 7.9 kt FY23). Also 1.6 kt Cu co-product FY25.</t>
        </is>
      </c>
      <c r="W88" s="79" t="n">
        <v>1961</v>
      </c>
      <c r="X88" s="79" t="inlineStr">
        <is>
          <t>underground</t>
        </is>
      </c>
      <c r="Y88" s="2" t="n"/>
      <c r="Z88" s="79" t="n"/>
      <c r="AA88" s="79" t="inlineStr">
        <is>
          <t>Nickel concentrate (sent to Sudbury or Long Harbour for processing). Class I battery-grade route. NOT stainless-steel.</t>
        </is>
      </c>
    </row>
    <row r="89" ht="15.75" customHeight="1" s="74">
      <c r="A89" s="79" t="inlineStr">
        <is>
          <t>Vale S.A.</t>
        </is>
      </c>
      <c r="B89" s="79" t="inlineStr">
        <is>
          <t>BR</t>
        </is>
      </c>
      <c r="C89" s="79" t="inlineStr">
        <is>
          <t>Voisey's Bay</t>
        </is>
      </c>
      <c r="D89" s="79" t="inlineStr">
        <is>
          <t>mine</t>
        </is>
      </c>
      <c r="E89" s="79" t="inlineStr">
        <is>
          <t>CA</t>
        </is>
      </c>
      <c r="F89" s="79" t="inlineStr">
        <is>
          <t>Newfoundland and Labrador</t>
        </is>
      </c>
      <c r="G89" s="2" t="n"/>
      <c r="H89" s="79" t="n">
        <v>56.34</v>
      </c>
      <c r="I89" s="79" t="n">
        <v>-62.05</v>
      </c>
      <c r="J89" s="79" t="inlineStr">
        <is>
          <t>operating</t>
        </is>
      </c>
      <c r="K89" s="79" t="inlineStr">
        <is>
          <t>Nickel</t>
        </is>
      </c>
      <c r="L89" s="2" t="n"/>
      <c r="M89" s="2" t="n"/>
      <c r="N89" s="79" t="n">
        <v>33.1</v>
      </c>
      <c r="O89" s="79" t="inlineStr">
        <is>
          <t>kt/yr</t>
        </is>
      </c>
      <c r="P89" s="79" t="inlineStr">
        <is>
          <t>TRUE</t>
        </is>
      </c>
      <c r="Q89" s="79" t="inlineStr">
        <is>
          <t>ore</t>
        </is>
      </c>
      <c r="R89" s="79" t="inlineStr">
        <is>
          <t>2604</t>
        </is>
      </c>
      <c r="S89" s="79" t="inlineStr">
        <is>
          <t>operator</t>
        </is>
      </c>
      <c r="T89" s="79" t="n">
        <v>0.9</v>
      </c>
      <c r="U89" s="79" t="inlineStr">
        <is>
          <t>https://www.sec.gov/cgi-bin/browse-edgar?action=getcompany&amp;CIK=0000917851&amp;type=20-F</t>
        </is>
      </c>
      <c r="V89" s="79" t="inlineStr">
        <is>
          <t>Production stage since 2005. Operated by Vale Newfoundland &amp; Labrador Limited (subsidiary of Vale Canada Limited). 1,599 ha. Mining lease expires 2027 (10-yr renewals). OWNERSHIP: 90% Vale (via VBM). *** 2025 MULTI-BILLION-DOLLAR EXPANSION COMPLETED *** — transitioned from open pit to 2 new underground mines (Reid Brook + Eastern Deeps). Achieved 94% of nameplate capacity. Mine life significantly extended. Open pit + underground (Ovoid+Discovery Hill 385 kt @ 1.0% Ni; Reid Brook+Eastern Deeps 2,091 kt @ 2.2% Ni). 2025: 33.1 kt finished Ni. COBALT STREAMING: Agreement with Wheaton Precious Metals + APG Metals. First 90-day throughput test (≥85%) achieved at 94% avg in 2025. POWER: 100% Vale-owned diesel generators at mine. LOGISTICS: Ni concentrate → Long Harbour refinery; Cu concentrate → direct to market. | FY2025 CONSOLIDATED RESERVES TABLE: Reserves FY2025 (90% VBM-adjusted): 25.6 Mt P+P @ 1.77% Ni / 0.80% Cu / 0.11% Co. -0.9 Mt vs 2024 (depletion). PROJECTED EXHAUSTION 2039 (+1 yr vs 2024). Multi-billion underground expansion COMPLETED 2025 — transitioned Ovoid+Discovery Hill open pit to Reid Brook + Eastern Deeps underground. Cobalt streaming: Wheaton 50% + APG 25% + Vale ~40% economic. *** VALE 20-F Sec 2.1.2 Ni Production: 33.1 kt Ni FY25 (+71% from 19.4 kt FY24, 13.5 kt FY23). Voisey's Bay ore is processed at Long Harbour Refinery. Multi-billion-dollar Voisey's Bay Mine Expansion completed FY25 (Reid Brook + Eastern Deeps underground mines) reaching 94% of nameplate capacity. Cobalt streaming completion test with Wheaton Precious Metals + APG Metals passed (avg 94% over 90 days). Also 18.6 kt Cu co-product FY25.</t>
        </is>
      </c>
      <c r="W89" s="79" t="n">
        <v>2005</v>
      </c>
      <c r="X89" s="79" t="inlineStr">
        <is>
          <t>mixed</t>
        </is>
      </c>
      <c r="Y89" s="2" t="n"/>
      <c r="Z89" s="79" t="n">
        <v>2039</v>
      </c>
      <c r="AA89" s="79" t="inlineStr">
        <is>
          <t>Nickel concentrate → Long Harbour refinery → battery-grade nickel rounds. Copper concentrate sold to market. Cobalt byproduct (under Wheaton/APG streaming agreement).</t>
        </is>
      </c>
    </row>
    <row r="90" ht="15.75" customHeight="1" s="74">
      <c r="A90" s="79" t="inlineStr">
        <is>
          <t>Vale S.A.</t>
        </is>
      </c>
      <c r="B90" s="79" t="inlineStr">
        <is>
          <t>BR</t>
        </is>
      </c>
      <c r="C90" s="79" t="inlineStr">
        <is>
          <t>Long Harbour Refinery</t>
        </is>
      </c>
      <c r="D90" s="79" t="inlineStr">
        <is>
          <t>refinery</t>
        </is>
      </c>
      <c r="E90" s="79" t="inlineStr">
        <is>
          <t>CA</t>
        </is>
      </c>
      <c r="F90" s="79" t="inlineStr">
        <is>
          <t>Newfoundland and Labrador</t>
        </is>
      </c>
      <c r="G90" s="2" t="n"/>
      <c r="H90" s="79" t="n">
        <v>47.4</v>
      </c>
      <c r="I90" s="79" t="n">
        <v>-53.83</v>
      </c>
      <c r="J90" s="79" t="inlineStr">
        <is>
          <t>operating</t>
        </is>
      </c>
      <c r="K90" s="79" t="inlineStr">
        <is>
          <t>Nickel</t>
        </is>
      </c>
      <c r="L90" s="2" t="n"/>
      <c r="M90" s="2" t="n"/>
      <c r="N90" s="79" t="n">
        <v>40</v>
      </c>
      <c r="O90" s="79" t="inlineStr">
        <is>
          <t>kt/yr</t>
        </is>
      </c>
      <c r="P90" s="79" t="inlineStr">
        <is>
          <t>TRUE</t>
        </is>
      </c>
      <c r="Q90" s="79" t="inlineStr">
        <is>
          <t>refined</t>
        </is>
      </c>
      <c r="R90" s="79" t="inlineStr">
        <is>
          <t>7502.10</t>
        </is>
      </c>
      <c r="S90" s="79" t="inlineStr">
        <is>
          <t>operator</t>
        </is>
      </c>
      <c r="T90" s="79" t="n">
        <v>0.9</v>
      </c>
      <c r="U90" s="79" t="inlineStr">
        <is>
          <t>https://www.sec.gov/cgi-bin/browse-edgar?action=getcompany&amp;CIK=0000917851&amp;type=20-F</t>
        </is>
      </c>
      <c r="V90" s="79" t="inlineStr">
        <is>
          <t>Hydrometallurgical refinery. Operating since 2014. OWNERSHIP: 90% Vale (via VBM). Processes Voisey's Bay nickel concentrate. Since 2H 2021 also processes Thompson concentrate. Can also process external feeds + CNR. 2025 PRODUCTION: 40 kt Ni — RECORD, +32% vs 2024. Carbon footprint 9.2t CO2e/t (Scopes 1+2+3 upstream 2024) — lowest in industry; explicitly EV-customer-positioned. POWER: Newfoundland &amp; Labrador provincial grid. *** VALE 20-F Ni-section commentary (p.75): Long Harbour set FY25 RECORD PRODUCTION of 40 kt Ni (+32% YoY). Class I nickel melt rounds — hydrometallurgical process. Low CO2e per tonne (9.2t scope 1+2+3 upstream 2024). Positions Vale for EV cathode-grade Ni market.</t>
        </is>
      </c>
      <c r="W90" s="79" t="n">
        <v>2014</v>
      </c>
      <c r="X90" s="2" t="n"/>
      <c r="Y90" s="2" t="n"/>
      <c r="Z90" s="2" t="n"/>
      <c r="AA90" s="79" t="inlineStr">
        <is>
          <t>*** LEADING-EDGE HYDROMETALLURGICAL REFINERY *** — produces battery-grade nickel rounds (plating rounds + nickel melt rounds) directly for EV/cathode market. Carbon footprint 9.2t CO2e/tonne (lowest in industry). Explicitly EV-positioned. Also: Co + Cu byproducts.</t>
        </is>
      </c>
    </row>
    <row r="91" ht="90" customHeight="1" s="74">
      <c r="A91" s="79" t="inlineStr">
        <is>
          <t>Vale S.A.</t>
        </is>
      </c>
      <c r="B91" s="79" t="inlineStr">
        <is>
          <t>BR</t>
        </is>
      </c>
      <c r="C91" s="79" t="inlineStr">
        <is>
          <t>Port Colborne Nickel Refinery</t>
        </is>
      </c>
      <c r="D91" s="79" t="inlineStr">
        <is>
          <t>refinery</t>
        </is>
      </c>
      <c r="E91" s="79" t="inlineStr">
        <is>
          <t>CA</t>
        </is>
      </c>
      <c r="F91" s="79" t="inlineStr">
        <is>
          <t>Ontario</t>
        </is>
      </c>
      <c r="G91" s="79" t="inlineStr">
        <is>
          <t>Port Colborne</t>
        </is>
      </c>
      <c r="H91" s="79" t="n">
        <v>42.89</v>
      </c>
      <c r="I91" s="79" t="n">
        <v>-79.25</v>
      </c>
      <c r="J91" s="79" t="inlineStr">
        <is>
          <t>operating</t>
        </is>
      </c>
      <c r="K91" s="79" t="inlineStr">
        <is>
          <t>Nickel</t>
        </is>
      </c>
      <c r="L91" s="2" t="n"/>
      <c r="M91" s="2" t="n"/>
      <c r="N91" s="2" t="n"/>
      <c r="O91" s="55" t="n"/>
      <c r="P91" s="79" t="inlineStr">
        <is>
          <t>TRUE</t>
        </is>
      </c>
      <c r="Q91" s="79" t="inlineStr">
        <is>
          <t>refined</t>
        </is>
      </c>
      <c r="R91" s="79" t="inlineStr">
        <is>
          <t>7502.10</t>
        </is>
      </c>
      <c r="S91" s="79" t="inlineStr">
        <is>
          <t>operator</t>
        </is>
      </c>
      <c r="T91" s="79" t="n">
        <v>0.9</v>
      </c>
      <c r="U91" s="79" t="inlineStr">
        <is>
          <t>https://www.sec.gov/cgi-bin/browse-edgar?action=getcompany&amp;CIK=0000917851&amp;type=20-F</t>
        </is>
      </c>
      <c r="V91" s="79" t="inlineStr">
        <is>
          <t>Located ~160 km from Toronto, ON. OWNERSHIP: 90% Vale (via VBM). Processes intermediate residues from Copper Cliff Nickel Refinery for cobalt + PGMs + Au + Ag. Also packages finished nickel produced by CCNR.</t>
        </is>
      </c>
      <c r="W91" s="2" t="n"/>
      <c r="X91" s="2" t="n"/>
      <c r="Y91" s="2" t="n"/>
      <c r="Z91" s="2" t="n"/>
      <c r="AA91" s="79" t="inlineStr">
        <is>
          <t>Packaging of finished nickel from CCNR. Cobalt + PGM + gold + silver byproduct extraction from CCNR intermediate residues.</t>
        </is>
      </c>
    </row>
    <row r="92" ht="90" customHeight="1" s="74">
      <c r="A92" s="79" t="inlineStr">
        <is>
          <t>Vale S.A.</t>
        </is>
      </c>
      <c r="B92" s="79" t="inlineStr">
        <is>
          <t>BR</t>
        </is>
      </c>
      <c r="C92" s="79" t="inlineStr">
        <is>
          <t>Onça Puma</t>
        </is>
      </c>
      <c r="D92" s="79" t="inlineStr">
        <is>
          <t>mine</t>
        </is>
      </c>
      <c r="E92" s="79" t="inlineStr">
        <is>
          <t>BR</t>
        </is>
      </c>
      <c r="F92" s="79" t="inlineStr">
        <is>
          <t>Pará</t>
        </is>
      </c>
      <c r="G92" s="2" t="n"/>
      <c r="H92" s="79" t="n">
        <v>-6.5</v>
      </c>
      <c r="I92" s="79" t="n">
        <v>-50.43</v>
      </c>
      <c r="J92" s="79" t="inlineStr">
        <is>
          <t>operating</t>
        </is>
      </c>
      <c r="K92" s="79" t="inlineStr">
        <is>
          <t>Nickel</t>
        </is>
      </c>
      <c r="L92" s="79" t="n">
        <v>40</v>
      </c>
      <c r="M92" s="79" t="inlineStr">
        <is>
          <t>kt/yr</t>
        </is>
      </c>
      <c r="N92" s="79" t="n">
        <v>26.1</v>
      </c>
      <c r="O92" s="79" t="inlineStr">
        <is>
          <t>kt/yr</t>
        </is>
      </c>
      <c r="P92" s="79" t="inlineStr">
        <is>
          <t>TRUE</t>
        </is>
      </c>
      <c r="Q92" s="79" t="inlineStr">
        <is>
          <t>refined</t>
        </is>
      </c>
      <c r="R92" s="79" t="inlineStr">
        <is>
          <t>7202.60</t>
        </is>
      </c>
      <c r="S92" s="79" t="inlineStr">
        <is>
          <t>operator</t>
        </is>
      </c>
      <c r="T92" s="79" t="n">
        <v>0.9</v>
      </c>
      <c r="U92" s="79" t="inlineStr">
        <is>
          <t>https://www.sec.gov/cgi-bin/browse-edgar?action=getcompany&amp;CIK=0000917851&amp;type=20-F</t>
        </is>
      </c>
      <c r="V92" s="79" t="inlineStr">
        <is>
          <t>Production stage since 2010. 35,211 ha. Operator: Mineração Onça Puma S.A. OWNERSHIP: 90% Vale (via VBM). 2 main open pits (Onça + Puma) + satellites (Puma W, Guepardo, Mundial). NICKEL LATERITE deposit. PROCESSING: Rotary kiln electric furnace (RKEF). FURNACE 2 COMMISSIONED SEPT 2025 — adds 15 kt to original 25 kt capacity = 40 ktpa now. 2025: 1,848 kt ore mined (record), 26.1 kt Ni (record, +87% vs 2024). Project completed on schedule + below budget, zero LTIs over 3 years. LARGEST FERRONICKEL OPERATION IN BRAZIL. Trucked to Vila do Conde maritime terminal (Pará). | FY2025 CONSOLIDATED RESERVES TABLE: Reserves FY2025 (90% VBM-adjusted): 86.0 Mt P+P @ 1.54% Ni. -0.8 Mt vs 2024 (-1% from depletion). PROJECTED EXHAUSTION 2068 (-5 yrs vs 2024 estimate 2073). Includes 5.1 Mt of stockpile. Class II ferronickel for stainless steel — NOT battery-grade. *** VALE 20-F Sec 2.1.2 Ni Production: 26.1 kt Ni FY25 (up 87% YoY from 14.0 kt FY24, 17.0 kt FY23). Furnace 2 successfully commissioned FY25 — adds 15 kt Ni nameplate to reach 40 ktpa total. Largest ferronickel operation in Brazil. Onça Puma completed project on schedule and below budget with no lost time injuries over 3-year project.</t>
        </is>
      </c>
      <c r="W92" s="79" t="n">
        <v>2010</v>
      </c>
      <c r="X92" s="79" t="inlineStr">
        <is>
          <t>open_pit</t>
        </is>
      </c>
      <c r="Y92" s="2" t="n"/>
      <c r="Z92" s="79" t="n">
        <v>2068</v>
      </c>
      <c r="AA92" s="79" t="inlineStr">
        <is>
          <t>*** FERRONICKEL FOR STAINLESS STEEL *** — Class II nickel (15-40% Ni content). NOT battery-grade. Sold to stainless steel mills.</t>
        </is>
      </c>
    </row>
    <row r="93" ht="90" customHeight="1" s="74">
      <c r="A93" s="79" t="inlineStr">
        <is>
          <t>PT Vale Indonesia Tbk</t>
        </is>
      </c>
      <c r="B93" s="79" t="inlineStr">
        <is>
          <t>ID</t>
        </is>
      </c>
      <c r="C93" s="79" t="inlineStr">
        <is>
          <t>Sorowako Mine + Processing</t>
        </is>
      </c>
      <c r="D93" s="79" t="inlineStr">
        <is>
          <t>mine</t>
        </is>
      </c>
      <c r="E93" s="79" t="inlineStr">
        <is>
          <t>ID</t>
        </is>
      </c>
      <c r="F93" s="79" t="inlineStr">
        <is>
          <t>Sulawesi</t>
        </is>
      </c>
      <c r="G93" s="79" t="inlineStr">
        <is>
          <t>Sorowako</t>
        </is>
      </c>
      <c r="H93" s="79" t="n">
        <v>-2.59</v>
      </c>
      <c r="I93" s="79" t="n">
        <v>121.39</v>
      </c>
      <c r="J93" s="79" t="inlineStr">
        <is>
          <t>operating</t>
        </is>
      </c>
      <c r="K93" s="79" t="inlineStr">
        <is>
          <t>Nickel</t>
        </is>
      </c>
      <c r="L93" s="2" t="n"/>
      <c r="M93" s="2" t="n"/>
      <c r="N93" s="2" t="n"/>
      <c r="O93" s="55" t="n"/>
      <c r="P93" s="79" t="inlineStr">
        <is>
          <t>TRUE</t>
        </is>
      </c>
      <c r="Q93" s="79" t="inlineStr">
        <is>
          <t>concentrate</t>
        </is>
      </c>
      <c r="R93" s="79" t="inlineStr">
        <is>
          <t>2604</t>
        </is>
      </c>
      <c r="S93" s="79" t="inlineStr">
        <is>
          <t>minority_stake</t>
        </is>
      </c>
      <c r="T93" s="79" t="n">
        <v>0.305</v>
      </c>
      <c r="U93" s="79" t="inlineStr">
        <is>
          <t>https://www.sec.gov/cgi-bin/browse-edgar?action=getcompany&amp;CIK=0000917851&amp;type=20-F</t>
        </is>
      </c>
      <c r="V93" s="79" t="inlineStr">
        <is>
          <t>*** AS OF JULY 2024: Vale ownership reduced from 44.3% to 33.9% (Indonesian divestment requirements). EFFECTIVE OWNERSHIP = 33.9% × 90% VBM = 30.5%. *** *** DECONSOLIDATED AFTER JUNE 2024 — now equity-method investee, not subsidiary. Production stopped being reported after June 2024. *** However Sorowako ore continues to flow to Vale's other facilities (Matsuzaka refinery). PRE-DECONSOLIDATION: Open cast nickel laterite. 2023 production: 5,762 kt ore mined, 64.1 kt Ni. Securing extension of PTVI mining license beyond 2025 was the trigger for divestment. | FY2025 CONSOLIDATED RESERVES TABLE: Reserves FY2025 (Vale 30.5% adjusted, PTVI total): Saprolite 70.9 Mt @ 1.69% Ni (+5.4 Mt vs 2024); Limonite 131.7 Mt @ 1.13% Ni (+25.8 Mt vs 2024 = +24% increase from Bahodopi 2-3 incorporation). Cobalt: 131.7 Mt @ 0.12% Co. PROJECTED EXHAUSTION 2045 (unchanged). IUPK valid until DEC 2035, extendable. PTVI 100% Sorowako total at 100% basis: limonite 432 Mt + saprolite 233 Mt.</t>
        </is>
      </c>
      <c r="W93" s="2" t="n"/>
      <c r="X93" s="79" t="inlineStr">
        <is>
          <t>open_pit</t>
        </is>
      </c>
      <c r="Y93" s="2" t="n"/>
      <c r="Z93" s="79" t="n">
        <v>2045</v>
      </c>
      <c r="AA93" s="79" t="inlineStr">
        <is>
          <t>Nickel matte → exported to Matsuzaka (Japan, Sumitomo JV) refinery for finished nickel + intermediate. End-use mostly EV battery precursor.</t>
        </is>
      </c>
    </row>
    <row r="94" ht="90" customHeight="1" s="74">
      <c r="A94" s="79" t="inlineStr">
        <is>
          <t>Vale S.A.</t>
        </is>
      </c>
      <c r="B94" s="79" t="inlineStr">
        <is>
          <t>BR</t>
        </is>
      </c>
      <c r="C94" s="79" t="inlineStr">
        <is>
          <t>Clydach Nickel Refinery</t>
        </is>
      </c>
      <c r="D94" s="79" t="inlineStr">
        <is>
          <t>refinery</t>
        </is>
      </c>
      <c r="E94" s="79" t="inlineStr">
        <is>
          <t>GB</t>
        </is>
      </c>
      <c r="F94" s="79" t="inlineStr">
        <is>
          <t>Wales</t>
        </is>
      </c>
      <c r="G94" s="79" t="inlineStr">
        <is>
          <t>Clydach</t>
        </is>
      </c>
      <c r="H94" s="79" t="n">
        <v>51.7</v>
      </c>
      <c r="I94" s="79" t="n">
        <v>-3.91</v>
      </c>
      <c r="J94" s="79" t="inlineStr">
        <is>
          <t>operating</t>
        </is>
      </c>
      <c r="K94" s="79" t="inlineStr">
        <is>
          <t>Nickel</t>
        </is>
      </c>
      <c r="L94" s="79" t="n">
        <v>40</v>
      </c>
      <c r="M94" s="79" t="inlineStr">
        <is>
          <t>kt/yr</t>
        </is>
      </c>
      <c r="N94" s="2" t="n"/>
      <c r="O94" s="55" t="n"/>
      <c r="P94" s="79" t="inlineStr">
        <is>
          <t>TRUE</t>
        </is>
      </c>
      <c r="Q94" s="79" t="inlineStr">
        <is>
          <t>refined</t>
        </is>
      </c>
      <c r="R94" s="79" t="inlineStr">
        <is>
          <t>7502.10</t>
        </is>
      </c>
      <c r="S94" s="79" t="inlineStr">
        <is>
          <t>operator</t>
        </is>
      </c>
      <c r="T94" s="79" t="n">
        <v>0.9</v>
      </c>
      <c r="U94" s="79" t="inlineStr">
        <is>
          <t>https://www.sec.gov/cgi-bin/browse-edgar?action=getcompany&amp;CIK=0000917851&amp;type=20-F</t>
        </is>
      </c>
      <c r="V94" s="79" t="inlineStr">
        <is>
          <t>Operator: Vale Europe Limited. Standalone refinery. OWNERSHIP: 90% Vale (via VBM). NOMINAL CAPACITY: 40 ktpy finished Ni. Processes nickel oxide intermediate from Sudbury + Matsuzaka operations. Trucked to Southampton/Liverpool ports for overseas customers.</t>
        </is>
      </c>
      <c r="W94" s="2" t="n"/>
      <c r="X94" s="2" t="n"/>
      <c r="Y94" s="2" t="n"/>
      <c r="Z94" s="2" t="n"/>
      <c r="AA94" s="79" t="inlineStr">
        <is>
          <t>Finished nickel (powders + pellets). Class I battery-grade specs. Customers: UK + continental Europe markets including EV battery + specialty alloys.</t>
        </is>
      </c>
    </row>
    <row r="95" ht="90" customHeight="1" s="74">
      <c r="A95" s="79" t="inlineStr">
        <is>
          <t>Vale S.A.</t>
        </is>
      </c>
      <c r="B95" s="79" t="inlineStr">
        <is>
          <t>BR</t>
        </is>
      </c>
      <c r="C95" s="79" t="inlineStr">
        <is>
          <t>Matsuzaka Nickel Refinery</t>
        </is>
      </c>
      <c r="D95" s="79" t="inlineStr">
        <is>
          <t>refinery</t>
        </is>
      </c>
      <c r="E95" s="79" t="inlineStr">
        <is>
          <t>JP</t>
        </is>
      </c>
      <c r="F95" s="79" t="inlineStr">
        <is>
          <t>Mie</t>
        </is>
      </c>
      <c r="G95" s="79" t="inlineStr">
        <is>
          <t>Matsusaka</t>
        </is>
      </c>
      <c r="H95" s="79" t="n">
        <v>34.58</v>
      </c>
      <c r="I95" s="79" t="n">
        <v>136.53</v>
      </c>
      <c r="J95" s="79" t="inlineStr">
        <is>
          <t>operating</t>
        </is>
      </c>
      <c r="K95" s="79" t="inlineStr">
        <is>
          <t>Nickel</t>
        </is>
      </c>
      <c r="L95" s="79" t="n">
        <v>60</v>
      </c>
      <c r="M95" s="79" t="inlineStr">
        <is>
          <t>kt/yr</t>
        </is>
      </c>
      <c r="N95" s="2" t="n"/>
      <c r="O95" s="55" t="n"/>
      <c r="P95" s="79" t="inlineStr">
        <is>
          <t>TRUE</t>
        </is>
      </c>
      <c r="Q95" s="79" t="inlineStr">
        <is>
          <t>refined</t>
        </is>
      </c>
      <c r="R95" s="79" t="inlineStr">
        <is>
          <t>7502.10</t>
        </is>
      </c>
      <c r="S95" s="79" t="inlineStr">
        <is>
          <t>jv_partner</t>
        </is>
      </c>
      <c r="T95" s="79" t="n">
        <v>0.785</v>
      </c>
      <c r="U95" s="79" t="inlineStr">
        <is>
          <t>https://www.sec.gov/cgi-bin/browse-edgar?action=getcompany&amp;CIK=0000917851&amp;type=20-F</t>
        </is>
      </c>
      <c r="V95" s="79" t="inlineStr">
        <is>
          <t>*** JV WITH SUMITOMO METAL MINING *** — VBM 87.2% + Sumitomo 12.8%. Vale effective = 87.2% × 90% = 78.5%. Operator: Vale Japan Limited. NOMINAL CAPACITY: 60 ktpy intermediate, 30 ktpy finished nickel. Processes nickel matte sourced from PT Vale Indonesia (Sorowako). Trucked to Yokkaichi/Nagoya ports for overseas customers. Strategic Japanese supply chain anchor.</t>
        </is>
      </c>
      <c r="W95" s="2" t="n"/>
      <c r="X95" s="2" t="n"/>
      <c r="Y95" s="2" t="n"/>
      <c r="Z95" s="2" t="n"/>
      <c r="AA95" s="79" t="inlineStr">
        <is>
          <t>Intermediate + finished nickel for Japanese + Asian markets. Direct supply to Sumitomo (12.8% JV partner) for Japanese cell-makers (Panasonic, Toyota cathode supplier). Class I battery-grade.</t>
        </is>
      </c>
    </row>
    <row r="96" ht="90" customHeight="1" s="74">
      <c r="A96" s="79" t="inlineStr">
        <is>
          <t>Vale S.A.</t>
        </is>
      </c>
      <c r="B96" s="79" t="inlineStr">
        <is>
          <t>BR</t>
        </is>
      </c>
      <c r="C96" s="79" t="inlineStr">
        <is>
          <t>Salobo Copper Complex</t>
        </is>
      </c>
      <c r="D96" s="79" t="inlineStr">
        <is>
          <t>mine</t>
        </is>
      </c>
      <c r="E96" s="79" t="inlineStr">
        <is>
          <t>BR</t>
        </is>
      </c>
      <c r="F96" s="79" t="inlineStr">
        <is>
          <t>Pará</t>
        </is>
      </c>
      <c r="G96" s="2" t="n"/>
      <c r="H96" s="79" t="n">
        <v>-5.79</v>
      </c>
      <c r="I96" s="79" t="n">
        <v>-50.53</v>
      </c>
      <c r="J96" s="79" t="inlineStr">
        <is>
          <t>operating</t>
        </is>
      </c>
      <c r="K96" s="79" t="inlineStr">
        <is>
          <t>Copper</t>
        </is>
      </c>
      <c r="L96" s="79" t="n">
        <v>36</v>
      </c>
      <c r="M96" s="79" t="inlineStr">
        <is>
          <t>mt/yr</t>
        </is>
      </c>
      <c r="N96" s="79" t="n">
        <v>218.7</v>
      </c>
      <c r="O96" s="79" t="inlineStr">
        <is>
          <t>kt/yr</t>
        </is>
      </c>
      <c r="P96" s="79" t="inlineStr">
        <is>
          <t>TRUE</t>
        </is>
      </c>
      <c r="Q96" s="79" t="inlineStr">
        <is>
          <t>concentrate</t>
        </is>
      </c>
      <c r="R96" s="79" t="inlineStr">
        <is>
          <t>2603</t>
        </is>
      </c>
      <c r="S96" s="79" t="inlineStr">
        <is>
          <t>operator</t>
        </is>
      </c>
      <c r="T96" s="79" t="n">
        <v>0.9</v>
      </c>
      <c r="U96" s="79" t="inlineStr">
        <is>
          <t>https://www.sec.gov/cgi-bin/browse-edgar?action=getcompany&amp;CIK=0000917851&amp;type=20-F</t>
        </is>
      </c>
      <c r="V96" s="79" t="inlineStr">
        <is>
          <t>*** S-K 1300 MATERIAL PROPERTY — Updated TRS Exhibit 96.4 filed FY2025. *** OWNERSHIP: 90% Vale (100% VBM × 90% Vale, 10% Manara Minerals). Operator: Salobo Metais S.A. Mining concession 807.426/1974 (ANM), granted July 1987 for Cu+Au+Ag, 9,180.60 ha. OPERATING SINCE 2012. Open pit truck-shovel. IOCG deposit (iron oxide-copper-gold). CAPACITY: 36 Mtpy processing across 3 lines (Salobo I + II + III, 12 Mtpy each). 365-day operation. SALOBO III expansion: base case 135 Mtpy ore movement → 36 Mtpy processing. 2025 PRODUCTION: 53.6 Mt ore (0.6% Cu grade), 218.7 kt Cu RECORD. RESERVES (FY2025): 921.2 Mt P+P @ 0.60% Cu, 0.34 g/t Au (314.7 Mt Proven + 606.6 Mt Probable). RESOURCES: 562.3 Mt M+I + 177.9 Mt Inferred. Met recovery Cu 86.2%, Au 68.4%. PRICE ASSUMPTIONS: $9,950/t Cu, $2,650/oz Au. MINE LIFE: 20 yrs ending 2045. Process plant continues until 2054 reclaiming stockpiles. BOOK VALUE: $3,383M. *** SURFACE: 100% within Tapirapé-Aquiri National Forest (federal). *** *** GOLD STREAMING: Salobo Au is partly sold to Wheaton Precious Metals under streaming agreement (figures shown do not deduct streaming amounts). *** LOGISTICS: Cu concentrate trucked to rail offloading → EFC railroad → Itaqui port (São Luís). | FY2025 CONSOLIDATED RESERVES TABLE: Reserves FY2025 (90% VBM-adjusted): 921.2 Mt P+P @ 0.60% Cu / 0.34 g/t Au. -30.7 Mt vs 2024 (-3% from depletion, partially offset by mine design review). PROJECTED EXHAUSTION 2050 (-7 yrs vs 2024 estimate 2057). Process plant continues until 2054 from stockpile reclamation. Resources M+I 562.3 Mt + Inferred 177.9 Mt. Au sold to Wheaton under streaming. *** VALE 20-F Sec 2.2.2 Cu Production (p.85): 218.7 kt Cu FY25 (up from 199.8 kt FY24, 180.4 kt FY23). Mine production: 53,583 thousand tonnes ore @ 0.6% Cu grade. Salobo Metais S.A. subsidiary. Material property per S-K 1300 (updated TRS filed Exhibit 96.4).</t>
        </is>
      </c>
      <c r="W96" s="79" t="n">
        <v>2012</v>
      </c>
      <c r="X96" s="79" t="inlineStr">
        <is>
          <t>open_pit</t>
        </is>
      </c>
      <c r="Y96" s="79" t="n">
        <v>0.862</v>
      </c>
      <c r="Z96" s="79" t="n">
        <v>2050</v>
      </c>
      <c r="AA96" s="79" t="inlineStr">
        <is>
          <t>Copper concentrate + gold by-product. Cu used across construction/electrical/EV battery (fungible). Salobo gold is sold to Wheaton Precious Metals under streaming arrangement.</t>
        </is>
      </c>
    </row>
    <row r="97" ht="90" customHeight="1" s="74">
      <c r="A97" s="79" t="inlineStr">
        <is>
          <t>Vale S.A.</t>
        </is>
      </c>
      <c r="B97" s="79" t="inlineStr">
        <is>
          <t>BR</t>
        </is>
      </c>
      <c r="C97" s="79" t="inlineStr">
        <is>
          <t>Sossego Copper Complex (South Hub)</t>
        </is>
      </c>
      <c r="D97" s="79" t="inlineStr">
        <is>
          <t>mine</t>
        </is>
      </c>
      <c r="E97" s="79" t="inlineStr">
        <is>
          <t>BR</t>
        </is>
      </c>
      <c r="F97" s="79" t="inlineStr">
        <is>
          <t>Pará</t>
        </is>
      </c>
      <c r="G97" s="79" t="inlineStr">
        <is>
          <t>Canaã dos Carajás</t>
        </is>
      </c>
      <c r="H97" s="79" t="n">
        <v>-6.42</v>
      </c>
      <c r="I97" s="79" t="n">
        <v>-50.07</v>
      </c>
      <c r="J97" s="79" t="inlineStr">
        <is>
          <t>operating</t>
        </is>
      </c>
      <c r="K97" s="79" t="inlineStr">
        <is>
          <t>Copper</t>
        </is>
      </c>
      <c r="L97" s="2" t="n"/>
      <c r="M97" s="2" t="n"/>
      <c r="N97" s="79" t="n">
        <v>74.40000000000001</v>
      </c>
      <c r="O97" s="79" t="inlineStr">
        <is>
          <t>kt/yr</t>
        </is>
      </c>
      <c r="P97" s="79" t="inlineStr">
        <is>
          <t>TRUE</t>
        </is>
      </c>
      <c r="Q97" s="79" t="inlineStr">
        <is>
          <t>concentrate</t>
        </is>
      </c>
      <c r="R97" s="79" t="inlineStr">
        <is>
          <t>2603</t>
        </is>
      </c>
      <c r="S97" s="79" t="inlineStr">
        <is>
          <t>operator</t>
        </is>
      </c>
      <c r="T97" s="79" t="n">
        <v>0.9</v>
      </c>
      <c r="U97" s="79" t="inlineStr">
        <is>
          <t>https://www.sec.gov/cgi-bin/browse-edgar?action=getcompany&amp;CIK=0000917851&amp;type=20-F</t>
        </is>
      </c>
      <c r="V97" s="79" t="inlineStr">
        <is>
          <t>OWNERSHIP: 90% Vale (VBM 100% × Vale 90%). 24,786 ha. OPERATING SINCE 2004. 4 main open pits: Sossego, Sequerinho, Pista, Mata II. Satellite deposits: 118, Cristalino, Bacaba, Barão, Mata I, Visconde. 2025: 10.8 Mt ore (0.8% Cu grade), 74.4 kt Cu. IOCG deposits. Processing: crushing + grinding + flotation + concentrate dewatering. BACABA PROJECT (Development Stage) extending Sossego LoM. 118 + Cristalino feeding Sossego mill in future. LOGISTICS: Trucked to Parauapebas → EFC railroad → Itaqui port. Cu concentrate sold directly to global market. | FY2025 CONSOLIDATED RESERVES TABLE: *** RESERVES FY2025 NEARLY DOUBLED (90% VBM-adjusted): 113.7 Mt P+P @ 0.63% Cu — +92% vs 2024 (59.1 Mt) from Bacaba project conversion to reserves *** partially offset by -11.8 Mt depletion. Includes 31.1 Mt of stockpile. PROJECTED EXHAUSTION 2036 (+6 yrs vs 2024 estimate 2030). Resources M+I 782.1 Mt + Inferred 216.0 Mt. Sossego South Hub resources +21% to 998 Mt overall from Borrachudo, Cristalino 88, Mata I, Visconde Leste, Sossego UG additions. *** VALE 20-F Sec 2.2.2 Cu Production: 74.4 kt Cu FY25 (up from 65.4 kt FY24, 66.8 kt FY23). Mine production: 10,773 thousand tonnes ore @ 0.8% Cu grade. Four main open pits (Sossego, Sequerinho, Pista, Mata II).</t>
        </is>
      </c>
      <c r="W97" s="79" t="n">
        <v>2004</v>
      </c>
      <c r="X97" s="79" t="inlineStr">
        <is>
          <t>open_pit</t>
        </is>
      </c>
      <c r="Y97" s="2" t="n"/>
      <c r="Z97" s="79" t="n">
        <v>2036</v>
      </c>
      <c r="AA97" s="79" t="inlineStr">
        <is>
          <t>Copper concentrate + minor gold byproduct. Cu fungible across construction/electrical/EV.</t>
        </is>
      </c>
    </row>
    <row r="98" ht="130" customHeight="1" s="74">
      <c r="A98" s="79" t="inlineStr">
        <is>
          <t>Vale S.A.</t>
        </is>
      </c>
      <c r="B98" s="79" t="inlineStr">
        <is>
          <t>BR</t>
        </is>
      </c>
      <c r="C98" s="79" t="inlineStr">
        <is>
          <t>Salobo CPF Expansion Project</t>
        </is>
      </c>
      <c r="D98" s="79" t="inlineStr">
        <is>
          <t>mine</t>
        </is>
      </c>
      <c r="E98" s="79" t="inlineStr">
        <is>
          <t>BR</t>
        </is>
      </c>
      <c r="F98" s="79" t="inlineStr">
        <is>
          <t>Pará</t>
        </is>
      </c>
      <c r="G98" s="2" t="n"/>
      <c r="H98" s="2" t="n"/>
      <c r="I98" s="2" t="n"/>
      <c r="J98" s="79" t="inlineStr">
        <is>
          <t>planned</t>
        </is>
      </c>
      <c r="K98" s="79" t="inlineStr">
        <is>
          <t>Copper</t>
        </is>
      </c>
      <c r="L98" s="2" t="n"/>
      <c r="M98" s="2" t="n"/>
      <c r="N98" s="2" t="n">
        <v>0</v>
      </c>
      <c r="O98" s="55" t="inlineStr">
        <is>
          <t>tonnes Cu</t>
        </is>
      </c>
      <c r="P98" s="79" t="inlineStr">
        <is>
          <t>TRUE</t>
        </is>
      </c>
      <c r="Q98" s="79" t="inlineStr">
        <is>
          <t>concentrate</t>
        </is>
      </c>
      <c r="R98" s="79" t="inlineStr">
        <is>
          <t>2603</t>
        </is>
      </c>
      <c r="S98" s="79" t="inlineStr">
        <is>
          <t>operator</t>
        </is>
      </c>
      <c r="T98" s="79" t="n">
        <v>0.9</v>
      </c>
      <c r="U98" s="79" t="inlineStr">
        <is>
          <t>https://www.sec.gov/cgi-bin/browse-edgar?action=getcompany&amp;CIK=0000917851&amp;type=20-F</t>
        </is>
      </c>
      <c r="V98" s="79" t="inlineStr">
        <is>
          <t>EXPLORATION STAGE - FEL 3 (Feasibility) ongoing. Processing capacity expansion at Salobo III line. 90% Vale via VBM. *** VALE 20-F: exploration/development stage — Salobo Copper Concentration Facility expansion. No production FY25.</t>
        </is>
      </c>
      <c r="W98" s="2" t="n"/>
      <c r="X98" s="79" t="inlineStr">
        <is>
          <t>open_pit</t>
        </is>
      </c>
      <c r="Y98" s="2" t="n"/>
      <c r="Z98" s="2" t="n"/>
      <c r="AA98" s="79" t="inlineStr">
        <is>
          <t>Future Cu concentrate capacity expansion at Salobo III.</t>
        </is>
      </c>
    </row>
    <row r="99" ht="130" customHeight="1" s="74">
      <c r="A99" s="79" t="inlineStr">
        <is>
          <t>Vale S.A.</t>
        </is>
      </c>
      <c r="B99" s="79" t="inlineStr">
        <is>
          <t>BR</t>
        </is>
      </c>
      <c r="C99" s="79" t="inlineStr">
        <is>
          <t>Alemão Underground Project</t>
        </is>
      </c>
      <c r="D99" s="79" t="inlineStr">
        <is>
          <t>mine</t>
        </is>
      </c>
      <c r="E99" s="79" t="inlineStr">
        <is>
          <t>BR</t>
        </is>
      </c>
      <c r="F99" s="79" t="inlineStr">
        <is>
          <t>Pará</t>
        </is>
      </c>
      <c r="G99" s="2" t="n"/>
      <c r="H99" s="2" t="n"/>
      <c r="I99" s="2" t="n"/>
      <c r="J99" s="79" t="inlineStr">
        <is>
          <t>planned</t>
        </is>
      </c>
      <c r="K99" s="79" t="inlineStr">
        <is>
          <t>Copper</t>
        </is>
      </c>
      <c r="L99" s="2" t="n"/>
      <c r="M99" s="2" t="n"/>
      <c r="N99" s="2" t="n">
        <v>0</v>
      </c>
      <c r="O99" s="55" t="inlineStr">
        <is>
          <t>tonnes Cu</t>
        </is>
      </c>
      <c r="P99" s="79" t="inlineStr">
        <is>
          <t>TRUE</t>
        </is>
      </c>
      <c r="Q99" s="79" t="inlineStr">
        <is>
          <t>concentrate</t>
        </is>
      </c>
      <c r="R99" s="79" t="inlineStr">
        <is>
          <t>2603</t>
        </is>
      </c>
      <c r="S99" s="79" t="inlineStr">
        <is>
          <t>operator</t>
        </is>
      </c>
      <c r="T99" s="79" t="n">
        <v>0.9</v>
      </c>
      <c r="U99" s="79" t="inlineStr">
        <is>
          <t>https://www.sec.gov/cgi-bin/browse-edgar?action=getcompany&amp;CIK=0000917851&amp;type=20-F</t>
        </is>
      </c>
      <c r="V99" s="79" t="inlineStr">
        <is>
          <t>EXPLORATION STAGE - FEL 3 (Feasibility) ongoing. 10,000 ha in Carajás National Forest. IOCG deposit. Plans sublevel stoping underground mine. 90% Vale via VBM. Processing: crushing/grinding/flotation/dewatering + paste fill plant + tailings. *** VALE 20-F: exploration stage — no FY25 production.</t>
        </is>
      </c>
      <c r="W99" s="2" t="n"/>
      <c r="X99" s="79" t="inlineStr">
        <is>
          <t>underground</t>
        </is>
      </c>
      <c r="Y99" s="2" t="n"/>
      <c r="Z99" s="2" t="n"/>
      <c r="AA99" s="79" t="inlineStr">
        <is>
          <t>Future Cu concentrate; sublevel stoping underground mining. Au byproduct.</t>
        </is>
      </c>
    </row>
    <row r="100" ht="130" customHeight="1" s="74">
      <c r="A100" s="79" t="inlineStr">
        <is>
          <t>Vale S.A.</t>
        </is>
      </c>
      <c r="B100" s="79" t="inlineStr">
        <is>
          <t>BR</t>
        </is>
      </c>
      <c r="C100" s="79" t="inlineStr">
        <is>
          <t>Paulo Afonso Copper Project</t>
        </is>
      </c>
      <c r="D100" s="79" t="inlineStr">
        <is>
          <t>mine</t>
        </is>
      </c>
      <c r="E100" s="79" t="inlineStr">
        <is>
          <t>BR</t>
        </is>
      </c>
      <c r="F100" s="79" t="inlineStr">
        <is>
          <t>Pará</t>
        </is>
      </c>
      <c r="G100" s="2" t="n"/>
      <c r="H100" s="2" t="n"/>
      <c r="I100" s="2" t="n"/>
      <c r="J100" s="79" t="inlineStr">
        <is>
          <t>planned</t>
        </is>
      </c>
      <c r="K100" s="79" t="inlineStr">
        <is>
          <t>Copper</t>
        </is>
      </c>
      <c r="L100" s="2" t="n"/>
      <c r="M100" s="2" t="n"/>
      <c r="N100" s="2" t="n">
        <v>0</v>
      </c>
      <c r="O100" s="55" t="inlineStr">
        <is>
          <t>tonnes Cu</t>
        </is>
      </c>
      <c r="P100" s="79" t="inlineStr">
        <is>
          <t>TRUE</t>
        </is>
      </c>
      <c r="Q100" s="79" t="inlineStr">
        <is>
          <t>ore</t>
        </is>
      </c>
      <c r="R100" s="79" t="inlineStr">
        <is>
          <t>2603</t>
        </is>
      </c>
      <c r="S100" s="79" t="inlineStr">
        <is>
          <t>operator</t>
        </is>
      </c>
      <c r="T100" s="79" t="n">
        <v>0.9</v>
      </c>
      <c r="U100" s="79" t="inlineStr">
        <is>
          <t>https://www.sec.gov/cgi-bin/browse-edgar?action=getcompany&amp;CIK=0000917851&amp;type=20-F</t>
        </is>
      </c>
      <c r="V100" s="79" t="inlineStr">
        <is>
          <t>EXPLORATION STAGE - FEL 2 (Pre-Feasibility) ongoing. Mainly mining concession application + 1 exploration permit. 38,355 ha. IOCG deposit. 90% Vale via VBM. Plans extension of regional power transmission. *** VALE 20-F: exploration stage (Paulo Afonso UG). No FY25 production.</t>
        </is>
      </c>
      <c r="W100" s="2" t="n"/>
      <c r="X100" s="79" t="inlineStr">
        <is>
          <t>mixed</t>
        </is>
      </c>
      <c r="Y100" s="2" t="n"/>
      <c r="Z100" s="2" t="n"/>
      <c r="AA100" s="79" t="inlineStr">
        <is>
          <t>Future Cu mining - planned open pit + underground.</t>
        </is>
      </c>
    </row>
    <row r="101" ht="130" customHeight="1" s="74">
      <c r="A101" s="79" t="inlineStr">
        <is>
          <t>Vale S.A.</t>
        </is>
      </c>
      <c r="B101" s="79" t="inlineStr">
        <is>
          <t>BR</t>
        </is>
      </c>
      <c r="C101" s="79" t="inlineStr">
        <is>
          <t>Furnas Copper Project</t>
        </is>
      </c>
      <c r="D101" s="79" t="inlineStr">
        <is>
          <t>mine</t>
        </is>
      </c>
      <c r="E101" s="79" t="inlineStr">
        <is>
          <t>BR</t>
        </is>
      </c>
      <c r="F101" s="79" t="inlineStr">
        <is>
          <t>Pará</t>
        </is>
      </c>
      <c r="G101" s="2" t="n"/>
      <c r="H101" s="2" t="n"/>
      <c r="I101" s="2" t="n"/>
      <c r="J101" s="79" t="inlineStr">
        <is>
          <t>planned</t>
        </is>
      </c>
      <c r="K101" s="79" t="inlineStr">
        <is>
          <t>Copper</t>
        </is>
      </c>
      <c r="L101" s="2" t="n"/>
      <c r="M101" s="2" t="n"/>
      <c r="N101" s="2" t="n">
        <v>0</v>
      </c>
      <c r="O101" s="55" t="inlineStr">
        <is>
          <t>tonnes Cu</t>
        </is>
      </c>
      <c r="P101" s="79" t="inlineStr">
        <is>
          <t>TRUE</t>
        </is>
      </c>
      <c r="Q101" s="79" t="inlineStr">
        <is>
          <t>ore</t>
        </is>
      </c>
      <c r="R101" s="79" t="inlineStr">
        <is>
          <t>2603</t>
        </is>
      </c>
      <c r="S101" s="79" t="inlineStr">
        <is>
          <t>jv_partner</t>
        </is>
      </c>
      <c r="T101" s="79" t="n">
        <v>0.9</v>
      </c>
      <c r="U101" s="79" t="inlineStr">
        <is>
          <t>https://www.sec.gov/cgi-bin/browse-edgar?action=getcompany&amp;CIK=0000917851&amp;type=20-F</t>
        </is>
      </c>
      <c r="V101" s="79" t="inlineStr">
        <is>
          <t>SCOPING STAGE. 9,832 ha. 2 mining concession applications. IOCG deposit. *** ERO COPPER CORP EARN-IN AGREEMENT *** — Ero Copper can earn 60% interest upon completion of 3 phases of work resulting in definitive feasibility study. Vale retains 40% if Ero earns in. Vale baseline ownership: 90% Vale via VBM. Plans underground + open pit. Partner review needed once earn-in matures. *** VALE 20-F: exploration/development stage. No FY25 production.</t>
        </is>
      </c>
      <c r="W101" s="2" t="n"/>
      <c r="X101" s="79" t="inlineStr">
        <is>
          <t>mixed</t>
        </is>
      </c>
      <c r="Y101" s="2" t="n"/>
      <c r="Z101" s="2" t="n"/>
      <c r="AA101" s="79" t="inlineStr">
        <is>
          <t>Future Cu+Au mining; planned open pit + underground.</t>
        </is>
      </c>
    </row>
    <row r="102" ht="130" customHeight="1" s="74">
      <c r="A102" s="79" t="inlineStr">
        <is>
          <t>Vale S.A.</t>
        </is>
      </c>
      <c r="B102" s="79" t="inlineStr">
        <is>
          <t>BR</t>
        </is>
      </c>
      <c r="C102" s="79" t="inlineStr">
        <is>
          <t>Hu'u Copper-Gold Project (Onto)</t>
        </is>
      </c>
      <c r="D102" s="79" t="inlineStr">
        <is>
          <t>mine</t>
        </is>
      </c>
      <c r="E102" s="79" t="inlineStr">
        <is>
          <t>ID</t>
        </is>
      </c>
      <c r="F102" s="79" t="inlineStr">
        <is>
          <t>Nusa Tenggara Barat</t>
        </is>
      </c>
      <c r="G102" s="79" t="inlineStr">
        <is>
          <t>Bima</t>
        </is>
      </c>
      <c r="H102" s="79" t="n">
        <v>-8.5</v>
      </c>
      <c r="I102" s="79" t="n">
        <v>118.5</v>
      </c>
      <c r="J102" s="79" t="inlineStr">
        <is>
          <t>planned</t>
        </is>
      </c>
      <c r="K102" s="79" t="inlineStr">
        <is>
          <t>Copper</t>
        </is>
      </c>
      <c r="L102" s="2" t="n"/>
      <c r="M102" s="2" t="n"/>
      <c r="N102" s="2" t="n">
        <v>0</v>
      </c>
      <c r="O102" s="55" t="inlineStr">
        <is>
          <t>tonnes Cu</t>
        </is>
      </c>
      <c r="P102" s="79" t="inlineStr">
        <is>
          <t>TRUE</t>
        </is>
      </c>
      <c r="Q102" s="79" t="inlineStr">
        <is>
          <t>ore</t>
        </is>
      </c>
      <c r="R102" s="79" t="inlineStr">
        <is>
          <t>2603</t>
        </is>
      </c>
      <c r="S102" s="79" t="inlineStr">
        <is>
          <t>jv_partner</t>
        </is>
      </c>
      <c r="T102" s="79" t="n">
        <v>0.72</v>
      </c>
      <c r="U102" s="79" t="inlineStr">
        <is>
          <t>https://www.sec.gov/cgi-bin/browse-edgar?action=getcompany&amp;CIK=0000917851&amp;type=20-F</t>
        </is>
      </c>
      <c r="V102" s="79" t="inlineStr">
        <is>
          <t>GREENFIELD — Exploration Stage FEL 2 (Pre-Feasibility). Operator: Sumbawa Timur Mining (STM). Held via VBM subsidiary Eastern Star Resources Pty Ltd. OWNERSHIP: Vale 72% (80% Hu'u × 90% VBM) + PT Antam Tbk 20% + Manara Minerals 8% (via 10% VBM). Onto deposit on Sumbawa Island. 19,260 ha Contract of Work with Indonesian Govt. 30-yr operation-stage term subject to govt approval. *** FORCED DIVESTMENT *** — by 20th or 25th year post-production Vale must divest to PT Antam or other Indonesian participants reducing to max 49%. Underground porphyry mine planned. Infrastructure/logistics under study (greenfield). *** VALE 20-F: exploration stage (Indonesia). No FY25 production.</t>
        </is>
      </c>
      <c r="W102" s="2" t="n"/>
      <c r="X102" s="79" t="inlineStr">
        <is>
          <t>underground</t>
        </is>
      </c>
      <c r="Y102" s="2" t="n"/>
      <c r="Z102" s="2" t="n"/>
      <c r="AA102" s="79" t="inlineStr">
        <is>
          <t>Future Cu-Au concentrate. Porphyry copper-gold + high-sulphidation epithermal characteristics.</t>
        </is>
      </c>
    </row>
    <row r="103" ht="130" customHeight="1" s="74">
      <c r="A103" s="79" t="inlineStr">
        <is>
          <t>Anglo American Minério de Ferro Brasil S.A.</t>
        </is>
      </c>
      <c r="B103" s="79" t="inlineStr">
        <is>
          <t>BR</t>
        </is>
      </c>
      <c r="C103" s="79" t="inlineStr">
        <is>
          <t>Minas-Rio Mining Complex</t>
        </is>
      </c>
      <c r="D103" s="79" t="inlineStr">
        <is>
          <t>mine</t>
        </is>
      </c>
      <c r="E103" s="79" t="inlineStr">
        <is>
          <t>BR</t>
        </is>
      </c>
      <c r="F103" s="79" t="inlineStr">
        <is>
          <t>Minas Gerais</t>
        </is>
      </c>
      <c r="G103" s="79" t="inlineStr">
        <is>
          <t>Conceição do Mato Dentro</t>
        </is>
      </c>
      <c r="H103" s="79" t="n">
        <v>-19.04</v>
      </c>
      <c r="I103" s="79" t="n">
        <v>-43.43</v>
      </c>
      <c r="J103" s="79" t="inlineStr">
        <is>
          <t>operating</t>
        </is>
      </c>
      <c r="K103" s="79" t="inlineStr">
        <is>
          <t>Iron Ore</t>
        </is>
      </c>
      <c r="L103" s="2" t="n"/>
      <c r="M103" s="2" t="n"/>
      <c r="N103" s="2" t="n"/>
      <c r="O103" s="55" t="n"/>
      <c r="P103" s="79" t="inlineStr">
        <is>
          <t>TRUE</t>
        </is>
      </c>
      <c r="Q103" s="79" t="inlineStr">
        <is>
          <t>ore</t>
        </is>
      </c>
      <c r="R103" s="79" t="inlineStr">
        <is>
          <t>2601</t>
        </is>
      </c>
      <c r="S103" s="79" t="inlineStr">
        <is>
          <t>jv_partner</t>
        </is>
      </c>
      <c r="T103" s="79" t="n">
        <v>0.15</v>
      </c>
      <c r="U103" s="79" t="inlineStr">
        <is>
          <t>https://www.sec.gov/cgi-bin/browse-edgar?action=getcompany&amp;CIK=0000917851&amp;type=20-F</t>
        </is>
      </c>
      <c r="V103" s="79" t="inlineStr">
        <is>
          <t>*** NEW VALE INVESTMENT — completed Dec 2024 *** by contributing Serra da Serpentina high-grade iron ore resources + cash for 15% stake. OWNERSHIP: Vale 15% + Anglo American Brasil Group 85%. Operator: Anglo American Minério de Ferro Brasil S.A. (= Minas-Rio). 2,849 ha. Mining concession with no expiration date. Production stage since 2014. Open pit mining (friable itabirite + hematite ore types). 1 beneficiation plant on-site. LOGISTICS: *** 529-km SLURRY PIPELINE *** with 2 pump stations + 1 valve station, crosses 32 municipalities to Port of Açu (Atlantic, Rio de Janeiro state). Pellet feed export terminal at Açu.</t>
        </is>
      </c>
      <c r="W103" s="79" t="n">
        <v>2014</v>
      </c>
      <c r="X103" s="79" t="inlineStr">
        <is>
          <t>open_pit</t>
        </is>
      </c>
      <c r="Y103" s="2" t="n"/>
      <c r="Z103" s="2" t="n"/>
      <c r="AA103" s="79" t="inlineStr">
        <is>
          <t>Pellet feed for steelmaking (Asian + European markets). Friable itabirite + hematite. NOT battery-grade. Vale's 15% stake acquired Dec 2024.</t>
        </is>
      </c>
    </row>
    <row r="104" ht="130" customHeight="1" s="74">
      <c r="A104" s="79" t="inlineStr">
        <is>
          <t>Samarco Mineração S.A.</t>
        </is>
      </c>
      <c r="B104" s="79" t="inlineStr">
        <is>
          <t>BR</t>
        </is>
      </c>
      <c r="C104" s="79" t="inlineStr">
        <is>
          <t>Samarco Germano Complex</t>
        </is>
      </c>
      <c r="D104" s="79" t="inlineStr">
        <is>
          <t>mine</t>
        </is>
      </c>
      <c r="E104" s="79" t="inlineStr">
        <is>
          <t>BR</t>
        </is>
      </c>
      <c r="F104" s="79" t="inlineStr">
        <is>
          <t>Minas Gerais</t>
        </is>
      </c>
      <c r="G104" s="79" t="inlineStr">
        <is>
          <t>Mariana</t>
        </is>
      </c>
      <c r="H104" s="79" t="n">
        <v>-20.38</v>
      </c>
      <c r="I104" s="79" t="n">
        <v>-43.42</v>
      </c>
      <c r="J104" s="79" t="inlineStr">
        <is>
          <t>operating</t>
        </is>
      </c>
      <c r="K104" s="79" t="inlineStr">
        <is>
          <t>Iron Ore</t>
        </is>
      </c>
      <c r="L104" s="2" t="n"/>
      <c r="M104" s="2" t="n"/>
      <c r="N104" s="79" t="n">
        <v>15.1</v>
      </c>
      <c r="O104" s="79" t="inlineStr">
        <is>
          <t>mt/yr</t>
        </is>
      </c>
      <c r="P104" s="79" t="inlineStr">
        <is>
          <t>TRUE</t>
        </is>
      </c>
      <c r="Q104" s="79" t="inlineStr">
        <is>
          <t>ore</t>
        </is>
      </c>
      <c r="R104" s="79" t="inlineStr">
        <is>
          <t>2601</t>
        </is>
      </c>
      <c r="S104" s="79" t="inlineStr">
        <is>
          <t>operator</t>
        </is>
      </c>
      <c r="T104" s="79" t="n">
        <v>0.5</v>
      </c>
      <c r="U104" s="79" t="inlineStr">
        <is>
          <t>https://www.sec.gov/cgi-bin/browse-edgar?action=getcompany&amp;CIK=0000917851&amp;type=20-F</t>
        </is>
      </c>
      <c r="V104" s="79" t="inlineStr">
        <is>
          <t>Mariana municipality, MG. 50% Vale + 50% BHP Brasil (Samarco Mineração S.A.). 1,174.3 ha mining concession (no expiration). Itabirite ore, open pit. Suspended Nov 2015 (post-Fundão failure). Restart Dec 2020 at 26% capacity. *** 2025: 15.1 Mt pellets produced = 60% of installed capacity. *** *** EXPANSION APPROVED: Reach 100% / 26 Mtpy by 2028-2029. New filtering infra + asset improvements. *** *** JR PLAN FORMALLY CLOSED AUG 2025. *** New senior debt bonds maturing 2031. Vale carrying value = ZERO since 2015. RESERVES (2025): 407 Mt P+P @ 42.7% Fe avg. Resources M+I 1,957 Mt @ 37.7% Fe + Inferred 210 Mt. Met recovery 47%. *** LONG-TERM PROJECT ENV LICENSE APPROVED JULY 2025 *** by COPAM (MG) — enables expansion WITHOUT NEW TAILINGS DAMS. Germano Pit decommissioned 2023. Germano Dam decommissioning in progress. GISTM compliant + 24/7 monitoring center. New tailings: 80% as filtered sand stacks + 20% in Alegria Sul confined pit. 3 beneficiation plants on-site. 3 pipelines ~400 km to Ubu pellet plants.</t>
        </is>
      </c>
      <c r="W104" s="79" t="n">
        <v>1977</v>
      </c>
      <c r="X104" s="79" t="inlineStr">
        <is>
          <t>open_pit</t>
        </is>
      </c>
      <c r="Y104" s="2" t="n"/>
      <c r="Z104" s="2" t="n"/>
      <c r="AA104" s="79" t="inlineStr">
        <is>
          <t>Iron ore pellet feed (steelmaking). Itabirite. NOT battery-grade. 50/50 Vale-BHP JV.</t>
        </is>
      </c>
    </row>
    <row r="105" ht="130" customHeight="1" s="74">
      <c r="A105" s="79" t="inlineStr">
        <is>
          <t>Samarco Mineração S.A.</t>
        </is>
      </c>
      <c r="B105" s="79" t="inlineStr">
        <is>
          <t>BR</t>
        </is>
      </c>
      <c r="C105" s="79" t="inlineStr">
        <is>
          <t>Samarco Ubu Pellet + Port Complex</t>
        </is>
      </c>
      <c r="D105" s="79" t="inlineStr">
        <is>
          <t>processing</t>
        </is>
      </c>
      <c r="E105" s="79" t="inlineStr">
        <is>
          <t>BR</t>
        </is>
      </c>
      <c r="F105" s="79" t="inlineStr">
        <is>
          <t>Espírito Santo</t>
        </is>
      </c>
      <c r="G105" s="79" t="inlineStr">
        <is>
          <t>Anchieta</t>
        </is>
      </c>
      <c r="H105" s="79" t="n">
        <v>-20.81</v>
      </c>
      <c r="I105" s="79" t="n">
        <v>-40.66</v>
      </c>
      <c r="J105" s="79" t="inlineStr">
        <is>
          <t>operating</t>
        </is>
      </c>
      <c r="K105" s="79" t="inlineStr">
        <is>
          <t>Iron Ore</t>
        </is>
      </c>
      <c r="L105" s="2" t="n"/>
      <c r="M105" s="2" t="n"/>
      <c r="N105" s="2" t="n"/>
      <c r="O105" s="55" t="n"/>
      <c r="P105" s="79" t="inlineStr">
        <is>
          <t>TRUE</t>
        </is>
      </c>
      <c r="Q105" s="79" t="inlineStr">
        <is>
          <t>concentrate</t>
        </is>
      </c>
      <c r="R105" s="79" t="inlineStr">
        <is>
          <t>2601</t>
        </is>
      </c>
      <c r="S105" s="79" t="inlineStr">
        <is>
          <t>operator</t>
        </is>
      </c>
      <c r="T105" s="79" t="n">
        <v>0.5</v>
      </c>
      <c r="U105" s="79" t="inlineStr">
        <is>
          <t>https://www.sec.gov/cgi-bin/browse-edgar?action=getcompany&amp;CIK=0000917851&amp;type=20-F</t>
        </is>
      </c>
      <c r="V105" s="79" t="inlineStr">
        <is>
          <t>Anchieta, ES. 50% Vale + 50% BHP Brasil. 4 PELLET PLANTS + own port. Pellet feed arrives via 400 km Samarco slurry pipelines from Germano. Self-owned port for export. Long-term price assumption $130.2/t (FOB Ubu) for 100% blast furnace.</t>
        </is>
      </c>
      <c r="W105" s="2" t="n"/>
      <c r="X105" s="2" t="n"/>
      <c r="Y105" s="2" t="n"/>
      <c r="Z105" s="2" t="n"/>
      <c r="AA105" s="79" t="inlineStr">
        <is>
          <t>Iron ore pellets — Blast Furnace grade for steelmaking. NOT battery-grade.</t>
        </is>
      </c>
    </row>
    <row r="106" ht="130" customHeight="1" s="74">
      <c r="A106" s="79" t="inlineStr">
        <is>
          <t>PT Vale Indonesia Tbk</t>
        </is>
      </c>
      <c r="B106" s="79" t="inlineStr">
        <is>
          <t>ID</t>
        </is>
      </c>
      <c r="C106" s="79" t="inlineStr">
        <is>
          <t>Larona Hydroelectric Plant</t>
        </is>
      </c>
      <c r="D106" s="79" t="inlineStr">
        <is>
          <t>other</t>
        </is>
      </c>
      <c r="E106" s="79" t="inlineStr">
        <is>
          <t>ID</t>
        </is>
      </c>
      <c r="F106" s="79" t="inlineStr">
        <is>
          <t>Sulawesi</t>
        </is>
      </c>
      <c r="G106" s="2" t="n"/>
      <c r="H106" s="2" t="n"/>
      <c r="I106" s="2" t="n"/>
      <c r="J106" s="79" t="inlineStr">
        <is>
          <t>operating</t>
        </is>
      </c>
      <c r="K106" s="79" t="inlineStr">
        <is>
          <t>Nickel</t>
        </is>
      </c>
      <c r="L106" s="79" t="n">
        <v>165</v>
      </c>
      <c r="M106" s="79" t="inlineStr">
        <is>
          <t>other</t>
        </is>
      </c>
      <c r="N106" s="2" t="n"/>
      <c r="O106" s="55" t="n"/>
      <c r="P106" s="79" t="inlineStr">
        <is>
          <t>FALSE</t>
        </is>
      </c>
      <c r="Q106" s="79" t="inlineStr">
        <is>
          <t>ore</t>
        </is>
      </c>
      <c r="R106" s="79" t="inlineStr">
        <is>
          <t>2604</t>
        </is>
      </c>
      <c r="S106" s="79" t="inlineStr">
        <is>
          <t>operator</t>
        </is>
      </c>
      <c r="T106" s="79" t="n">
        <v>0.305</v>
      </c>
      <c r="U106" s="79" t="inlineStr">
        <is>
          <t>https://www.sec.gov/cgi-bin/browse-edgar?action=getcompany&amp;CIK=0000917851&amp;type=20-F</t>
        </is>
      </c>
      <c r="V106" s="79" t="inlineStr">
        <is>
          <t>165 MW avg capacity on Larona River. One of 3 PTVI hydroelectric plants (with Balambano 110 MW + Karebbe 90 MW = 365 MW total). Strategic low-cost power supply for nickel processing.</t>
        </is>
      </c>
      <c r="W106" s="2" t="n"/>
      <c r="X106" s="2" t="n"/>
      <c r="Y106" s="2" t="n"/>
      <c r="Z106" s="2" t="n"/>
      <c r="AA106" s="79" t="inlineStr">
        <is>
          <t>Captive hydroelectric power for PTVI Sorowako nickel operations. 165 MW average generating capacity. Reduces CO2 vs alternative thermal/diesel.</t>
        </is>
      </c>
    </row>
    <row r="107" ht="120" customHeight="1" s="74">
      <c r="A107" s="79" t="inlineStr">
        <is>
          <t>PT Vale Indonesia Tbk</t>
        </is>
      </c>
      <c r="B107" s="79" t="inlineStr">
        <is>
          <t>ID</t>
        </is>
      </c>
      <c r="C107" s="79" t="inlineStr">
        <is>
          <t>Balambano Hydroelectric Plant</t>
        </is>
      </c>
      <c r="D107" s="79" t="inlineStr">
        <is>
          <t>other</t>
        </is>
      </c>
      <c r="E107" s="79" t="inlineStr">
        <is>
          <t>ID</t>
        </is>
      </c>
      <c r="F107" s="79" t="inlineStr">
        <is>
          <t>Sulawesi</t>
        </is>
      </c>
      <c r="G107" s="2" t="n"/>
      <c r="H107" s="2" t="n"/>
      <c r="I107" s="2" t="n"/>
      <c r="J107" s="79" t="inlineStr">
        <is>
          <t>operating</t>
        </is>
      </c>
      <c r="K107" s="79" t="inlineStr">
        <is>
          <t>Nickel</t>
        </is>
      </c>
      <c r="L107" s="79" t="n">
        <v>110</v>
      </c>
      <c r="M107" s="79" t="inlineStr">
        <is>
          <t>other</t>
        </is>
      </c>
      <c r="N107" s="2" t="n"/>
      <c r="O107" s="55" t="n"/>
      <c r="P107" s="79" t="inlineStr">
        <is>
          <t>FALSE</t>
        </is>
      </c>
      <c r="Q107" s="79" t="inlineStr">
        <is>
          <t>ore</t>
        </is>
      </c>
      <c r="R107" s="79" t="inlineStr">
        <is>
          <t>2604</t>
        </is>
      </c>
      <c r="S107" s="79" t="inlineStr">
        <is>
          <t>operator</t>
        </is>
      </c>
      <c r="T107" s="79" t="n">
        <v>0.305</v>
      </c>
      <c r="U107" s="79" t="inlineStr">
        <is>
          <t>https://www.sec.gov/cgi-bin/browse-edgar?action=getcompany&amp;CIK=0000917851&amp;type=20-F</t>
        </is>
      </c>
      <c r="V107" s="79" t="inlineStr">
        <is>
          <t>110 MW avg capacity on Larona River. Captive power for PTVI Sorowako.</t>
        </is>
      </c>
      <c r="W107" s="2" t="n"/>
      <c r="X107" s="2" t="n"/>
      <c r="Y107" s="2" t="n"/>
      <c r="Z107" s="2" t="n"/>
      <c r="AA107" s="79" t="inlineStr">
        <is>
          <t>Captive hydroelectric for PTVI nickel. 110 MW.</t>
        </is>
      </c>
    </row>
    <row r="108" ht="120" customHeight="1" s="74">
      <c r="A108" s="79" t="inlineStr">
        <is>
          <t>PT Vale Indonesia Tbk</t>
        </is>
      </c>
      <c r="B108" s="79" t="inlineStr">
        <is>
          <t>ID</t>
        </is>
      </c>
      <c r="C108" s="79" t="inlineStr">
        <is>
          <t>Karebbe Hydroelectric Plant</t>
        </is>
      </c>
      <c r="D108" s="79" t="inlineStr">
        <is>
          <t>other</t>
        </is>
      </c>
      <c r="E108" s="79" t="inlineStr">
        <is>
          <t>ID</t>
        </is>
      </c>
      <c r="F108" s="79" t="inlineStr">
        <is>
          <t>Sulawesi</t>
        </is>
      </c>
      <c r="G108" s="2" t="n"/>
      <c r="H108" s="2" t="n"/>
      <c r="I108" s="2" t="n"/>
      <c r="J108" s="79" t="inlineStr">
        <is>
          <t>operating</t>
        </is>
      </c>
      <c r="K108" s="79" t="inlineStr">
        <is>
          <t>Nickel</t>
        </is>
      </c>
      <c r="L108" s="79" t="n">
        <v>90</v>
      </c>
      <c r="M108" s="79" t="inlineStr">
        <is>
          <t>other</t>
        </is>
      </c>
      <c r="N108" s="2" t="n"/>
      <c r="O108" s="55" t="n"/>
      <c r="P108" s="79" t="inlineStr">
        <is>
          <t>FALSE</t>
        </is>
      </c>
      <c r="Q108" s="79" t="inlineStr">
        <is>
          <t>ore</t>
        </is>
      </c>
      <c r="R108" s="79" t="inlineStr">
        <is>
          <t>2604</t>
        </is>
      </c>
      <c r="S108" s="79" t="inlineStr">
        <is>
          <t>operator</t>
        </is>
      </c>
      <c r="T108" s="79" t="n">
        <v>0.305</v>
      </c>
      <c r="U108" s="79" t="inlineStr">
        <is>
          <t>https://www.sec.gov/cgi-bin/browse-edgar?action=getcompany&amp;CIK=0000917851&amp;type=20-F</t>
        </is>
      </c>
      <c r="V108" s="79" t="inlineStr">
        <is>
          <t>90 MW avg capacity. Captive power for PTVI Sorowako.</t>
        </is>
      </c>
      <c r="W108" s="2" t="n"/>
      <c r="X108" s="2" t="n"/>
      <c r="Y108" s="2" t="n"/>
      <c r="Z108" s="2" t="n"/>
      <c r="AA108" s="79" t="inlineStr">
        <is>
          <t>Captive hydroelectric for PTVI nickel. 90 MW.</t>
        </is>
      </c>
    </row>
    <row r="109" ht="120" customHeight="1" s="74">
      <c r="A109" s="79" t="inlineStr">
        <is>
          <t>PT Vale Indonesia Tbk</t>
        </is>
      </c>
      <c r="B109" s="79" t="inlineStr">
        <is>
          <t>ID</t>
        </is>
      </c>
      <c r="C109" s="79" t="inlineStr">
        <is>
          <t>Bahodopi 2-3 Nickel Project</t>
        </is>
      </c>
      <c r="D109" s="79" t="inlineStr">
        <is>
          <t>mine</t>
        </is>
      </c>
      <c r="E109" s="79" t="inlineStr">
        <is>
          <t>ID</t>
        </is>
      </c>
      <c r="F109" s="79" t="inlineStr">
        <is>
          <t>Central Sulawesi</t>
        </is>
      </c>
      <c r="G109" s="2" t="n"/>
      <c r="H109" s="2" t="n"/>
      <c r="I109" s="2" t="n"/>
      <c r="J109" s="79" t="inlineStr">
        <is>
          <t>under_construction</t>
        </is>
      </c>
      <c r="K109" s="79" t="inlineStr">
        <is>
          <t>Nickel</t>
        </is>
      </c>
      <c r="L109" s="2" t="n"/>
      <c r="M109" s="2" t="n"/>
      <c r="N109" s="2" t="n"/>
      <c r="O109" s="55" t="n"/>
      <c r="P109" s="79" t="inlineStr">
        <is>
          <t>TRUE</t>
        </is>
      </c>
      <c r="Q109" s="79" t="inlineStr">
        <is>
          <t>concentrate</t>
        </is>
      </c>
      <c r="R109" s="79" t="inlineStr">
        <is>
          <t>2604</t>
        </is>
      </c>
      <c r="S109" s="79" t="inlineStr">
        <is>
          <t>operator</t>
        </is>
      </c>
      <c r="T109" s="79" t="n">
        <v>0.305</v>
      </c>
      <c r="U109" s="79" t="inlineStr">
        <is>
          <t>https://www.sec.gov/cgi-bin/browse-edgar?action=getcompany&amp;CIK=0000917851&amp;type=20-F</t>
        </is>
      </c>
      <c r="V109" s="79" t="inlineStr">
        <is>
          <t>DEVELOPMENT STAGE. Nickel laterite. Limonite fraction → PT Bahodopi Nickel Smelter Indonesia (BNSI) HPAL plant (JV with QMB GEM Co Ltd) at Sambalagi. Saprolite ore → sold to GEM + domestic market.</t>
        </is>
      </c>
      <c r="W109" s="2" t="n"/>
      <c r="X109" s="79" t="inlineStr">
        <is>
          <t>open_pit</t>
        </is>
      </c>
      <c r="Y109" s="2" t="n"/>
      <c r="Z109" s="2" t="n"/>
      <c r="AA109" s="79" t="inlineStr">
        <is>
          <t>Future nickel laterite. Limonite ore → BNSI HPAL plant (PTVI + QMB GEM JV) → battery-grade products. Saprolite ore → GEM + domestic market.</t>
        </is>
      </c>
    </row>
    <row r="110" ht="120" customHeight="1" s="74">
      <c r="A110" s="79" t="inlineStr">
        <is>
          <t>PT Vale Indonesia Tbk</t>
        </is>
      </c>
      <c r="B110" s="79" t="inlineStr">
        <is>
          <t>ID</t>
        </is>
      </c>
      <c r="C110" s="79" t="inlineStr">
        <is>
          <t>Pomalaa Nickel Project</t>
        </is>
      </c>
      <c r="D110" s="79" t="inlineStr">
        <is>
          <t>mine</t>
        </is>
      </c>
      <c r="E110" s="79" t="inlineStr">
        <is>
          <t>ID</t>
        </is>
      </c>
      <c r="F110" s="79" t="inlineStr">
        <is>
          <t>South Sulawesi</t>
        </is>
      </c>
      <c r="G110" s="2" t="n"/>
      <c r="H110" s="2" t="n"/>
      <c r="I110" s="2" t="n"/>
      <c r="J110" s="79" t="inlineStr">
        <is>
          <t>under_construction</t>
        </is>
      </c>
      <c r="K110" s="79" t="inlineStr">
        <is>
          <t>Nickel</t>
        </is>
      </c>
      <c r="L110" s="2" t="n"/>
      <c r="M110" s="2" t="n"/>
      <c r="N110" s="2" t="n"/>
      <c r="O110" s="55" t="n"/>
      <c r="P110" s="79" t="inlineStr">
        <is>
          <t>TRUE</t>
        </is>
      </c>
      <c r="Q110" s="79" t="inlineStr">
        <is>
          <t>concentrate</t>
        </is>
      </c>
      <c r="R110" s="79" t="inlineStr">
        <is>
          <t>2604</t>
        </is>
      </c>
      <c r="S110" s="79" t="inlineStr">
        <is>
          <t>operator</t>
        </is>
      </c>
      <c r="T110" s="79" t="n">
        <v>0.305</v>
      </c>
      <c r="U110" s="79" t="inlineStr">
        <is>
          <t>https://www.sec.gov/cgi-bin/browse-edgar?action=getcompany&amp;CIK=0000917851&amp;type=20-F</t>
        </is>
      </c>
      <c r="V110" s="79" t="inlineStr">
        <is>
          <t>DEVELOPMENT STAGE. Limonite fraction → feed preparation plant → PT Kolaka Nickel Indonesia (KNI) HPAL plant (JV with Huayou Cobalt). Saprolite ore → domestic market.</t>
        </is>
      </c>
      <c r="W110" s="2" t="n"/>
      <c r="X110" s="79" t="inlineStr">
        <is>
          <t>open_pit</t>
        </is>
      </c>
      <c r="Y110" s="2" t="n"/>
      <c r="Z110" s="2" t="n"/>
      <c r="AA110" s="79" t="inlineStr">
        <is>
          <t>Future nickel laterite. Limonite ore → KNI HPAL plant (PTVI + Huayou JV) → battery-grade products. Saprolite ore → domestic market.</t>
        </is>
      </c>
    </row>
    <row r="111" ht="120" customHeight="1" s="74">
      <c r="A111" s="84" t="inlineStr">
        <is>
          <t>Vale S.A.</t>
        </is>
      </c>
      <c r="B111" s="84" t="inlineStr">
        <is>
          <t>BR</t>
        </is>
      </c>
      <c r="C111" s="84" t="inlineStr">
        <is>
          <t>Tamanduá Mine</t>
        </is>
      </c>
      <c r="D111" s="85" t="inlineStr">
        <is>
          <t>mine</t>
        </is>
      </c>
      <c r="E111" s="84" t="inlineStr">
        <is>
          <t>BR</t>
        </is>
      </c>
      <c r="F111" s="84" t="inlineStr">
        <is>
          <t>Minas Gerais</t>
        </is>
      </c>
      <c r="G111" s="84" t="inlineStr">
        <is>
          <t>Nova Lima</t>
        </is>
      </c>
      <c r="H111" s="2" t="n"/>
      <c r="I111" s="2" t="n"/>
      <c r="J111" s="85" t="inlineStr">
        <is>
          <t>operating</t>
        </is>
      </c>
      <c r="K111" s="84" t="inlineStr">
        <is>
          <t>Iron Ore</t>
        </is>
      </c>
      <c r="L111" s="2" t="n"/>
      <c r="M111" s="2" t="n"/>
      <c r="N111" s="2" t="n"/>
      <c r="O111" s="55" t="n"/>
      <c r="P111" s="85" t="inlineStr">
        <is>
          <t>TRUE</t>
        </is>
      </c>
      <c r="Q111" s="85" t="inlineStr">
        <is>
          <t>ore</t>
        </is>
      </c>
      <c r="R111" s="2" t="inlineStr">
        <is>
          <t>2601.12</t>
        </is>
      </c>
      <c r="S111" s="85" t="inlineStr">
        <is>
          <t>operator</t>
        </is>
      </c>
      <c r="T111" s="84" t="n">
        <v>1</v>
      </c>
      <c r="U111" s="84" t="inlineStr">
        <is>
          <t>https://www.sec.gov/Archives/edgar/data/917851/000129281426001844/valeform20f_2025.htm</t>
        </is>
      </c>
      <c r="V111" s="84" t="inlineStr">
        <is>
          <t>Vale 2025 20-F: Tamanduá is one of 5 mines in the Vargem Grande Complex (Southern System), along with Sapecado, Galinheiro, Horizontes and Abóboras. Vargem Grande Complex operating since 1942, projected exhaustion 2129 (complex-level). Named in Aug 2025 Federal AG civil action alleging mining outside authorized boundaries (US$381M claim, per Row 37). Individual-mine capacity/production not separately reported. *** VALE 20-F Sec 1.1.2: production BUNDLED into parent Complex (Southeastern System) — not individually itemized in aggregate production table. [HS BACKFILL 2026-07-10: 2601.12 - pellets; from product_end_use/name evidence, H6+mapping-table verified.]</t>
        </is>
      </c>
      <c r="W111" s="84" t="n">
        <v>1942</v>
      </c>
      <c r="X111" s="84" t="inlineStr">
        <is>
          <t>open_pit</t>
        </is>
      </c>
      <c r="Y111" s="2" t="n"/>
      <c r="Z111" s="84" t="n">
        <v>2129</v>
      </c>
      <c r="AA111" s="0" t="inlineStr">
        <is>
          <t>Steelmaking (blast furnace sinter/pellet feed; DR-grade pellets for DRI/EAF). Battery relevance minimal (LFP iron comes from chemical routes, not ore). [Backfilled 2026-07-07: commodity-level end-use, not per-facility disclosure]</t>
        </is>
      </c>
    </row>
    <row r="112" ht="120" customHeight="1" s="74">
      <c r="A112" s="84" t="inlineStr">
        <is>
          <t>Vale S.A.</t>
        </is>
      </c>
      <c r="B112" s="84" t="inlineStr">
        <is>
          <t>BR</t>
        </is>
      </c>
      <c r="C112" s="84" t="inlineStr">
        <is>
          <t>Brucutu Mine</t>
        </is>
      </c>
      <c r="D112" s="85" t="inlineStr">
        <is>
          <t>mine</t>
        </is>
      </c>
      <c r="E112" s="84" t="inlineStr">
        <is>
          <t>BR</t>
        </is>
      </c>
      <c r="F112" s="84" t="inlineStr">
        <is>
          <t>Minas Gerais</t>
        </is>
      </c>
      <c r="G112" s="84" t="inlineStr"/>
      <c r="H112" s="2" t="n"/>
      <c r="I112" s="2" t="n"/>
      <c r="J112" s="85" t="inlineStr">
        <is>
          <t>operating</t>
        </is>
      </c>
      <c r="K112" s="84" t="inlineStr">
        <is>
          <t>Iron Ore</t>
        </is>
      </c>
      <c r="L112" s="2" t="n"/>
      <c r="M112" s="2" t="n"/>
      <c r="N112" s="2" t="n"/>
      <c r="O112" s="55" t="n"/>
      <c r="P112" s="85" t="inlineStr">
        <is>
          <t>TRUE</t>
        </is>
      </c>
      <c r="Q112" s="85" t="inlineStr">
        <is>
          <t>ore</t>
        </is>
      </c>
      <c r="R112" s="2" t="inlineStr">
        <is>
          <t>2601.12</t>
        </is>
      </c>
      <c r="S112" s="85" t="inlineStr">
        <is>
          <t>operator</t>
        </is>
      </c>
      <c r="T112" s="84" t="n">
        <v>1</v>
      </c>
      <c r="U112" s="84" t="inlineStr">
        <is>
          <t>https://www.sec.gov/Archives/edgar/data/917851/000129281426001844/valeform20f_2025.htm</t>
        </is>
      </c>
      <c r="V112" s="84" t="inlineStr">
        <is>
          <t>Vale 2025 20-F: Brucutu is one of 2 mines + 1 project in the Minas Centrais Complex (Southeastern System), along with Morro Agudo mine and Apolo project. Minas Centrais Complex operating since 1994, projected exhaustion 2062 (complex-level). Brucutu has been GROWING: 2025 mineral reserves at Brucutu increased 101 Mt due to mine design review + incorporation of Serra do Tamanduá orebody (332 Mt added). Included in dam de-characterization / tailings filtration transition program 2018-2034. Specific city not stated in filing — USER TO CONFIRM. *** VALE 20-F Sec 1.1.2: production BUNDLED into parent Complex per Vale reporting. [HS BACKFILL 2026-07-10: 2601.12 - pellets; from product_end_use/name evidence, H6+mapping-table verified.]</t>
        </is>
      </c>
      <c r="W112" s="84" t="n">
        <v>1994</v>
      </c>
      <c r="X112" s="84" t="inlineStr">
        <is>
          <t>open_pit</t>
        </is>
      </c>
      <c r="Y112" s="2" t="n"/>
      <c r="Z112" s="84" t="n">
        <v>2062</v>
      </c>
      <c r="AA112" s="0" t="inlineStr">
        <is>
          <t>Steelmaking (blast furnace sinter/pellet feed; DR-grade pellets for DRI/EAF). Battery relevance minimal (LFP iron comes from chemical routes, not ore). [Backfilled 2026-07-07: commodity-level end-use, not per-facility disclosure]</t>
        </is>
      </c>
    </row>
    <row r="113" ht="120" customHeight="1" s="74">
      <c r="A113" s="84" t="inlineStr">
        <is>
          <t>Vale S.A.</t>
        </is>
      </c>
      <c r="B113" s="84" t="inlineStr">
        <is>
          <t>BR</t>
        </is>
      </c>
      <c r="C113" s="84" t="inlineStr">
        <is>
          <t>Pico Mine</t>
        </is>
      </c>
      <c r="D113" s="85" t="inlineStr">
        <is>
          <t>mine</t>
        </is>
      </c>
      <c r="E113" s="84" t="inlineStr">
        <is>
          <t>BR</t>
        </is>
      </c>
      <c r="F113" s="84" t="inlineStr">
        <is>
          <t>Minas Gerais</t>
        </is>
      </c>
      <c r="G113" s="84" t="inlineStr">
        <is>
          <t>Itabirito</t>
        </is>
      </c>
      <c r="H113" s="2" t="n"/>
      <c r="I113" s="2" t="n"/>
      <c r="J113" s="85" t="inlineStr">
        <is>
          <t>operating</t>
        </is>
      </c>
      <c r="K113" s="84" t="inlineStr">
        <is>
          <t>Iron Ore</t>
        </is>
      </c>
      <c r="L113" s="2" t="n"/>
      <c r="M113" s="2" t="n"/>
      <c r="N113" s="2" t="n"/>
      <c r="O113" s="55" t="n"/>
      <c r="P113" s="85" t="inlineStr">
        <is>
          <t>TRUE</t>
        </is>
      </c>
      <c r="Q113" s="85" t="inlineStr">
        <is>
          <t>ore</t>
        </is>
      </c>
      <c r="R113" s="2" t="inlineStr">
        <is>
          <t>2601.12</t>
        </is>
      </c>
      <c r="S113" s="85" t="inlineStr">
        <is>
          <t>operator</t>
        </is>
      </c>
      <c r="T113" s="84" t="n">
        <v>1</v>
      </c>
      <c r="U113" s="84" t="inlineStr">
        <is>
          <t>https://www.sec.gov/Archives/edgar/data/917851/000129281426001844/valeform20f_2025.htm</t>
        </is>
      </c>
      <c r="V113" s="84" t="inlineStr">
        <is>
          <t>Vale 2025 20-F: Pico mine located in Itabirito, MG (per financial note 27 subsequent event). NOT explicitly reported in Reserves and Resources tables as part of any named complex — likely a smaller/older mine. Received ANM infraction notice US$23M in 2026 (subsequent event) per note 27. Also part of the R$10.5B umbrella ANM infraction notices covered by Row 38. Specific operating dates, capacity, ownership not disclosed at mine level in filing. *** VALE 20-F Sec 1.1.2: production BUNDLED into parent Complex per Vale reporting. [HS BACKFILL 2026-07-10: 2601.12 - pellets; from product_end_use/name evidence, H6+mapping-table verified.]</t>
        </is>
      </c>
      <c r="W113" s="2" t="n"/>
      <c r="X113" s="84" t="inlineStr">
        <is>
          <t>open_pit</t>
        </is>
      </c>
      <c r="Y113" s="2" t="n"/>
      <c r="Z113" s="2" t="n"/>
      <c r="AA113" s="0" t="inlineStr">
        <is>
          <t>Steelmaking (blast furnace sinter/pellet feed; DR-grade pellets for DRI/EAF). Battery relevance minimal (LFP iron comes from chemical routes, not ore). [Backfilled 2026-07-07: commodity-level end-use, not per-facility disclosure]</t>
        </is>
      </c>
    </row>
    <row r="114" ht="110" customHeight="1" s="74">
      <c r="A114" s="84" t="inlineStr">
        <is>
          <t>Vale S.A.</t>
        </is>
      </c>
      <c r="B114" s="84" t="inlineStr">
        <is>
          <t>BR</t>
        </is>
      </c>
      <c r="C114" s="84" t="inlineStr">
        <is>
          <t>Mar Azul Mine</t>
        </is>
      </c>
      <c r="D114" s="85" t="inlineStr">
        <is>
          <t>mine</t>
        </is>
      </c>
      <c r="E114" s="84" t="inlineStr">
        <is>
          <t>BR</t>
        </is>
      </c>
      <c r="F114" s="84" t="inlineStr">
        <is>
          <t>Minas Gerais</t>
        </is>
      </c>
      <c r="G114" s="84" t="inlineStr">
        <is>
          <t>Nova Lima</t>
        </is>
      </c>
      <c r="H114" s="2" t="n"/>
      <c r="I114" s="2" t="n"/>
      <c r="J114" s="85" t="inlineStr">
        <is>
          <t>operating</t>
        </is>
      </c>
      <c r="K114" s="84" t="inlineStr">
        <is>
          <t>Iron Ore</t>
        </is>
      </c>
      <c r="L114" s="2" t="n"/>
      <c r="M114" s="2" t="n"/>
      <c r="N114" s="2" t="n"/>
      <c r="O114" s="55" t="n"/>
      <c r="P114" s="85" t="inlineStr">
        <is>
          <t>TRUE</t>
        </is>
      </c>
      <c r="Q114" s="85" t="inlineStr">
        <is>
          <t>ore</t>
        </is>
      </c>
      <c r="R114" s="2" t="inlineStr">
        <is>
          <t>2601.12</t>
        </is>
      </c>
      <c r="S114" s="85" t="inlineStr">
        <is>
          <t>operator</t>
        </is>
      </c>
      <c r="T114" s="84" t="n">
        <v>1</v>
      </c>
      <c r="U114" s="84" t="inlineStr">
        <is>
          <t>https://www.sec.gov/Archives/edgar/data/917851/000129281426001844/valeform20f_2025.htm</t>
        </is>
      </c>
      <c r="V114" s="84" t="inlineStr">
        <is>
          <t>Vale 2025 20-F: Mar Azul is one of 4 mines in the Paraopeba Complex (Southern System), along with João Pereira, Segredo, Capão Xavier and Viga. Paraopeba Complex operating since 2003, projected exhaustion 2068. Located in Nova Lima MG (per note 27). Has B3/B4 dam (which was fully de-characterized in 2024, back-up dam removed). Received ANM infraction notice US$211M in 2026 (subsequent event) per note 27. Also part of R$10.5B umbrella (Row 38). *** VALE 20-F Sec 1.1.2: production BUNDLED into parent Complex per Vale reporting. [HS BACKFILL 2026-07-10: 2601.12 - pellets; from product_end_use/name evidence, H6+mapping-table verified.]</t>
        </is>
      </c>
      <c r="W114" s="84" t="n">
        <v>2003</v>
      </c>
      <c r="X114" s="84" t="inlineStr">
        <is>
          <t>open_pit</t>
        </is>
      </c>
      <c r="Y114" s="2" t="n"/>
      <c r="Z114" s="84" t="n">
        <v>2068</v>
      </c>
      <c r="AA114" s="0" t="inlineStr">
        <is>
          <t>Steelmaking (blast furnace sinter/pellet feed; DR-grade pellets for DRI/EAF). Battery relevance minimal (LFP iron comes from chemical routes, not ore). [Backfilled 2026-07-07: commodity-level end-use, not per-facility disclosure]</t>
        </is>
      </c>
    </row>
    <row r="115" ht="110" customHeight="1" s="74">
      <c r="A115" s="84" t="inlineStr">
        <is>
          <t>Vale S.A.</t>
        </is>
      </c>
      <c r="B115" s="84" t="inlineStr">
        <is>
          <t>BR</t>
        </is>
      </c>
      <c r="C115" s="84" t="inlineStr">
        <is>
          <t>Viga Mine</t>
        </is>
      </c>
      <c r="D115" s="85" t="inlineStr">
        <is>
          <t>mine</t>
        </is>
      </c>
      <c r="E115" s="84" t="inlineStr">
        <is>
          <t>BR</t>
        </is>
      </c>
      <c r="F115" s="84" t="inlineStr">
        <is>
          <t>Minas Gerais</t>
        </is>
      </c>
      <c r="G115" s="84" t="inlineStr">
        <is>
          <t>Congonhas</t>
        </is>
      </c>
      <c r="H115" s="2" t="n"/>
      <c r="I115" s="2" t="n"/>
      <c r="J115" s="85" t="inlineStr">
        <is>
          <t>care_maintenance</t>
        </is>
      </c>
      <c r="K115" s="84" t="inlineStr">
        <is>
          <t>Iron Ore</t>
        </is>
      </c>
      <c r="L115" s="2" t="n"/>
      <c r="M115" s="2" t="n"/>
      <c r="N115" s="2" t="n"/>
      <c r="O115" s="55" t="n"/>
      <c r="P115" s="85" t="inlineStr">
        <is>
          <t>TRUE</t>
        </is>
      </c>
      <c r="Q115" s="85" t="inlineStr">
        <is>
          <t>ore</t>
        </is>
      </c>
      <c r="R115" s="2" t="inlineStr">
        <is>
          <t>2601.12</t>
        </is>
      </c>
      <c r="S115" s="85" t="inlineStr">
        <is>
          <t>operator</t>
        </is>
      </c>
      <c r="T115" s="84" t="n">
        <v>1</v>
      </c>
      <c r="U115" s="84" t="inlineStr">
        <is>
          <t>https://www.sec.gov/Archives/edgar/data/917851/000129281426001844/valeform20f_2025.htm</t>
        </is>
      </c>
      <c r="V115" s="84" t="inlineStr">
        <is>
          <t>Vale 2025 20-F: Viga is one of 4 mines in the Paraopeba Complex (Southern System). Located in Congonhas, MG. Operations SUSPENDED BY VALE SINCE JANUARY 25, 2026 following the water/sediment overflow incident (see Row 9). Also subject to ANM infraction notices under CIV-d R$10.5B umbrella (Row 38). Paraopeba Complex operating since 2003, projected exhaustion 2068 (complex-level). MPF asset-freeze request US$36M for Viga overflow REMAINS PENDING (other Viga asset-freeze from State of MG US$182M dismissed). *** VALE 20-F Sec 1.1.2: production BUNDLED into parent Complex per Vale reporting. Fábrica/Viga suspension Jan 2026 per Row 9. [HS BACKFILL 2026-07-10: 2601.12 - pellets; from product_end_use/name evidence, H6+mapping-table verified.]</t>
        </is>
      </c>
      <c r="W115" s="84" t="n">
        <v>2003</v>
      </c>
      <c r="X115" s="84" t="inlineStr">
        <is>
          <t>open_pit</t>
        </is>
      </c>
      <c r="Y115" s="2" t="n"/>
      <c r="Z115" s="84" t="n">
        <v>2068</v>
      </c>
      <c r="AA115" s="0" t="inlineStr">
        <is>
          <t>Steelmaking (blast furnace sinter/pellet feed; DR-grade pellets for DRI/EAF). Battery relevance minimal (LFP iron comes from chemical routes, not ore). [Backfilled 2026-07-07: commodity-level end-use, not per-facility disclosure]</t>
        </is>
      </c>
    </row>
    <row r="116" ht="110" customHeight="1" s="74">
      <c r="A116" s="84" t="inlineStr">
        <is>
          <t>Vale S.A.</t>
        </is>
      </c>
      <c r="B116" s="84" t="inlineStr">
        <is>
          <t>BR</t>
        </is>
      </c>
      <c r="C116" s="84" t="inlineStr">
        <is>
          <t>Fábrica Mine</t>
        </is>
      </c>
      <c r="D116" s="85" t="inlineStr">
        <is>
          <t>mine</t>
        </is>
      </c>
      <c r="E116" s="84" t="inlineStr">
        <is>
          <t>BR</t>
        </is>
      </c>
      <c r="F116" s="84" t="inlineStr">
        <is>
          <t>Minas Gerais</t>
        </is>
      </c>
      <c r="G116" s="84" t="inlineStr">
        <is>
          <t>Ouro Preto</t>
        </is>
      </c>
      <c r="H116" s="2" t="n"/>
      <c r="I116" s="2" t="n"/>
      <c r="J116" s="85" t="inlineStr">
        <is>
          <t>care_maintenance</t>
        </is>
      </c>
      <c r="K116" s="84" t="inlineStr">
        <is>
          <t>Iron Ore</t>
        </is>
      </c>
      <c r="L116" s="2" t="n"/>
      <c r="M116" s="2" t="n"/>
      <c r="N116" s="2" t="n"/>
      <c r="O116" s="55" t="n"/>
      <c r="P116" s="85" t="inlineStr">
        <is>
          <t>TRUE</t>
        </is>
      </c>
      <c r="Q116" s="85" t="inlineStr">
        <is>
          <t>ore</t>
        </is>
      </c>
      <c r="R116" s="2" t="inlineStr">
        <is>
          <t>2601.12</t>
        </is>
      </c>
      <c r="S116" s="85" t="inlineStr">
        <is>
          <t>operator</t>
        </is>
      </c>
      <c r="T116" s="84" t="n">
        <v>1</v>
      </c>
      <c r="U116" s="84" t="inlineStr">
        <is>
          <t>https://www.sec.gov/Archives/edgar/data/917851/000129281426001844/valeform20f_2025.htm</t>
        </is>
      </c>
      <c r="V116" s="84" t="inlineStr">
        <is>
          <t>Vale 2025 20-F: Fábrica Mine (NOT to be confused with "Fábrica Nova" which is in Mariana Complex, or "Fábrica Pellet Plant" which is downstream pellet plant). Located in Ouro Preto, MG (per note 24 subsequent event section — filing also references Congonhas via Pit 18). Also called "Fábrica mining complex" (per Forquilha V dam context). NOT itemized in Reserves and Resources tables as a distinct complex — likely small operational area. Operations SUSPENDED BY VALE SINCE JANUARY 25, 2026 following water/sediment overflow (Row 9). MUNICIPALITY OF CONGONHAS SUSPENDED OPERATING PERMITS (regulatory shutdown, not just voluntary). Feb 2026: 10 ANM infraction notices totaling R$409M (US$74M) for the Pit 18 water overflow. Multiple asset-freeze requests (MPF US$182M + MPMG US$154M) — DISMISSED. *** VALE 20-F Sec 1.1.2: production BUNDLED into parent Complex per Vale reporting. Fábrica/Viga suspension Jan 2026 per Row 9. [HS BACKFILL 2026-07-10: 2601.12 - pellets; from product_end_use/name evidence, H6+mapping-table verified.]</t>
        </is>
      </c>
      <c r="W116" s="2" t="n"/>
      <c r="X116" s="84" t="inlineStr">
        <is>
          <t>open_pit</t>
        </is>
      </c>
      <c r="Y116" s="2" t="n"/>
      <c r="Z116" s="2" t="n"/>
      <c r="AA116" s="0" t="inlineStr">
        <is>
          <t>Steelmaking (blast furnace sinter/pellet feed; DR-grade pellets for DRI/EAF). Battery relevance minimal (LFP iron comes from chemical routes, not ore). [Backfilled 2026-07-07: commodity-level end-use, not per-facility disclosure]</t>
        </is>
      </c>
    </row>
    <row r="117" ht="110" customHeight="1" s="74">
      <c r="A117" s="84" t="inlineStr">
        <is>
          <t>Vale S.A.</t>
        </is>
      </c>
      <c r="B117" s="84" t="inlineStr">
        <is>
          <t>BR</t>
        </is>
      </c>
      <c r="C117" s="84" t="inlineStr">
        <is>
          <t>Gongo Soco Mine</t>
        </is>
      </c>
      <c r="D117" s="85" t="inlineStr">
        <is>
          <t>mine</t>
        </is>
      </c>
      <c r="E117" s="84" t="inlineStr">
        <is>
          <t>BR</t>
        </is>
      </c>
      <c r="F117" s="84" t="inlineStr">
        <is>
          <t>Minas Gerais</t>
        </is>
      </c>
      <c r="G117" s="84" t="inlineStr">
        <is>
          <t>Barão de Cocais</t>
        </is>
      </c>
      <c r="H117" s="2" t="n"/>
      <c r="I117" s="2" t="n"/>
      <c r="J117" s="85" t="inlineStr">
        <is>
          <t>care_maintenance</t>
        </is>
      </c>
      <c r="K117" s="84" t="inlineStr">
        <is>
          <t>Iron Ore</t>
        </is>
      </c>
      <c r="L117" s="2" t="n"/>
      <c r="M117" s="2" t="n"/>
      <c r="N117" s="2" t="n"/>
      <c r="O117" s="55" t="n"/>
      <c r="P117" s="85" t="inlineStr">
        <is>
          <t>TRUE</t>
        </is>
      </c>
      <c r="Q117" s="85" t="inlineStr">
        <is>
          <t>ore</t>
        </is>
      </c>
      <c r="R117" s="2" t="inlineStr">
        <is>
          <t>2601.12</t>
        </is>
      </c>
      <c r="S117" s="85" t="inlineStr">
        <is>
          <t>operator</t>
        </is>
      </c>
      <c r="T117" s="84" t="n">
        <v>1</v>
      </c>
      <c r="U117" s="84" t="inlineStr">
        <is>
          <t>https://www.sec.gov/Archives/edgar/data/917851/000129281426001844/valeform20f_2025.htm</t>
        </is>
      </c>
      <c r="V117" s="84" t="inlineStr">
        <is>
          <t>Vale 2025 20-F: Located in Barão de Cocais area, MG (per Sul Superior dam context). NOT itemized in Reserves and Resources tables — likely small or care/maintenance mine. Site of Sul Superior tailings dam (Vale constructed back-up dam here in 2022, per dam de-characterization program). Included in R$10.5B ANM infraction notices (Row 38). Operational status set to care_maintenance based on absence from active reserves reporting + dam emergency-level history — USER TO CONFIRM. Row 21 (Barão de Cocais Sul Superior R$528M settlement) and Row 22 (Feb 2026 NGO action) both relate to this site. *** VALE 20-F Sec 1.1.2: production BUNDLED into parent Complex (care/maintenance status). [HS BACKFILL 2026-07-10: 2601.12 - pellets; from product_end_use/name evidence, H6+mapping-table verified.]</t>
        </is>
      </c>
      <c r="W117" s="2" t="n"/>
      <c r="X117" s="84" t="inlineStr">
        <is>
          <t>open_pit</t>
        </is>
      </c>
      <c r="Y117" s="2" t="n"/>
      <c r="Z117" s="2" t="n"/>
      <c r="AA117" s="0" t="inlineStr">
        <is>
          <t>Steelmaking (blast furnace sinter/pellet feed; DR-grade pellets for DRI/EAF). Battery relevance minimal (LFP iron comes from chemical routes, not ore). [Backfilled 2026-07-07: commodity-level end-use, not per-facility disclosure]</t>
        </is>
      </c>
    </row>
    <row r="118" ht="110" customHeight="1" s="74">
      <c r="A118" s="84" t="inlineStr">
        <is>
          <t>Albemarle Corporation</t>
        </is>
      </c>
      <c r="B118" s="84" t="inlineStr">
        <is>
          <t>US</t>
        </is>
      </c>
      <c r="C118" s="84" t="inlineStr">
        <is>
          <t>Antofalla</t>
        </is>
      </c>
      <c r="D118" s="85" t="inlineStr">
        <is>
          <t>mine</t>
        </is>
      </c>
      <c r="E118" s="84" t="inlineStr">
        <is>
          <t>AR</t>
        </is>
      </c>
      <c r="F118" s="84" t="inlineStr">
        <is>
          <t>Catamarca Province</t>
        </is>
      </c>
      <c r="G118" s="84" t="inlineStr"/>
      <c r="H118" s="2" t="n"/>
      <c r="I118" s="2" t="n"/>
      <c r="J118" s="85" t="inlineStr">
        <is>
          <t>planned</t>
        </is>
      </c>
      <c r="K118" s="84" t="inlineStr">
        <is>
          <t>Lithium</t>
        </is>
      </c>
      <c r="L118" s="2" t="n"/>
      <c r="M118" s="2" t="n"/>
      <c r="N118" s="2" t="n">
        <v>0</v>
      </c>
      <c r="O118" s="55" t="inlineStr">
        <is>
          <t>tonnes Li metal</t>
        </is>
      </c>
      <c r="P118" s="85" t="inlineStr">
        <is>
          <t>TRUE</t>
        </is>
      </c>
      <c r="Q118" s="85" t="inlineStr">
        <is>
          <t>ore</t>
        </is>
      </c>
      <c r="R118" s="2" t="inlineStr">
        <is>
          <t>2530.90</t>
        </is>
      </c>
      <c r="S118" s="85" t="inlineStr">
        <is>
          <t>operator</t>
        </is>
      </c>
      <c r="T118" s="84" t="n">
        <v>1</v>
      </c>
      <c r="U118" s="84" t="inlineStr">
        <is>
          <t>https://www.sec.gov/Archives/edgar/data/915913/000091591326000018/alb-20251231.htm</t>
        </is>
      </c>
      <c r="V118" s="84" t="inlineStr">
        <is>
          <t>Vale 10-K Item 2: Argentina brine site in exploration stage. Undeveloped land with access to lithium resource. Resources: 903 kt indicated + 888 kt inferred (metric tonnes concentrate). 100% Albemarle ownership. *** ALB 10-K: Exploration stage. Albemarle 100%. Argentina brine. [HS BACKFILL 2026-07-10: 2530.90 - spodumene/lepidolite concentrate; from product_end_use/name evidence, H6+mapping-table verified.]</t>
        </is>
      </c>
      <c r="W118" s="2" t="n"/>
      <c r="X118" s="84" t="inlineStr">
        <is>
          <t>brine</t>
        </is>
      </c>
      <c r="Y118" s="2" t="n"/>
      <c r="Z118" s="2" t="n"/>
      <c r="AA118" s="0" t="inlineStr">
        <is>
          <t>Li-ion battery cathode + electrolyte salts (EV/ESS = dominant and growing demand share; battery-grade carbonate/hydroxide); balance to glass-ceramics, greases, pharma. Spodumene concentrate rows feed converters. [Backfilled 2026-07-07: commodity-level end-use, not per-facility disclosure]</t>
        </is>
      </c>
    </row>
    <row r="119" ht="110" customHeight="1" s="74">
      <c r="A119" s="84" t="inlineStr">
        <is>
          <t>Albemarle Corporation</t>
        </is>
      </c>
      <c r="B119" s="84" t="inlineStr">
        <is>
          <t>US</t>
        </is>
      </c>
      <c r="C119" s="84" t="inlineStr">
        <is>
          <t>Kemerton Lithium Hydroxide Plant</t>
        </is>
      </c>
      <c r="D119" s="85" t="inlineStr">
        <is>
          <t>refinery</t>
        </is>
      </c>
      <c r="E119" s="84" t="inlineStr">
        <is>
          <t>AU</t>
        </is>
      </c>
      <c r="F119" s="84" t="inlineStr">
        <is>
          <t>Western Australia</t>
        </is>
      </c>
      <c r="G119" s="84" t="inlineStr">
        <is>
          <t>Kemerton</t>
        </is>
      </c>
      <c r="H119" s="2" t="n"/>
      <c r="I119" s="2" t="n"/>
      <c r="J119" s="85" t="inlineStr">
        <is>
          <t>care_maintenance</t>
        </is>
      </c>
      <c r="K119" s="84" t="inlineStr">
        <is>
          <t>Lithium</t>
        </is>
      </c>
      <c r="L119" s="2" t="n"/>
      <c r="M119" s="2" t="n"/>
      <c r="N119" s="2" t="n"/>
      <c r="O119" s="55" t="n"/>
      <c r="P119" s="85" t="inlineStr">
        <is>
          <t>TRUE</t>
        </is>
      </c>
      <c r="Q119" s="85" t="inlineStr">
        <is>
          <t>battery_grade</t>
        </is>
      </c>
      <c r="R119" s="2" t="inlineStr">
        <is>
          <t>2825.20</t>
        </is>
      </c>
      <c r="S119" s="85" t="inlineStr">
        <is>
          <t>operator</t>
        </is>
      </c>
      <c r="T119" s="84" t="n">
        <v>1</v>
      </c>
      <c r="U119" s="84" t="inlineStr">
        <is>
          <t>https://www.sec.gov/Archives/edgar/data/915913/000091591326000018/alb-20251231.htm</t>
        </is>
      </c>
      <c r="V119" s="84" t="inlineStr">
        <is>
          <t>Vale 10-K Item 2: Battery-grade lithium hydroxide processing plant. 100% Albemarle since October 2023 MARBL restructuring (paid MRL ~$180M for the remaining 40%). Four processing trains planned: Trains 3+4 CONSTRUCTION STOPPED 2024. Train 2 placed in care &amp; maintenance 2024. Train 1 placed in care &amp; maintenance February 2026 announcement. Essentially FULL WITHDRAWAL of Kemerton hydroxide capacity as of Feb 2026 due to depressed lithium prices. Linked events: Rows 47, 48, 51 in risk events tracker. *** ALB 10-K: Lithium hydroxide REFINERY (technical + battery-grade). Per-facility production not disclosed. Trains 1-4 idled 2024-2026 per Row 51. [HS BACKFILL 2026-07-10: 2825.20 - LiOH output; from product_end_use/name evidence, H6+mapping-table verified.]</t>
        </is>
      </c>
      <c r="W119" s="2" t="n"/>
      <c r="X119" s="2" t="n"/>
      <c r="Y119" s="2" t="n"/>
      <c r="Z119" s="2" t="n"/>
      <c r="AA119" s="86" t="inlineStr">
        <is>
          <t>Battery-grade lithium hydroxide (idle)</t>
        </is>
      </c>
    </row>
    <row r="120" ht="110" customHeight="1" s="74">
      <c r="A120" s="84" t="inlineStr">
        <is>
          <t>Albemarle Corporation</t>
        </is>
      </c>
      <c r="B120" s="84" t="inlineStr">
        <is>
          <t>US</t>
        </is>
      </c>
      <c r="C120" s="84" t="inlineStr">
        <is>
          <t>Chengdu Conversion Plant</t>
        </is>
      </c>
      <c r="D120" s="85" t="inlineStr">
        <is>
          <t>refinery</t>
        </is>
      </c>
      <c r="E120" s="84" t="inlineStr">
        <is>
          <t>CN</t>
        </is>
      </c>
      <c r="F120" s="84" t="inlineStr">
        <is>
          <t>Sichuan Province</t>
        </is>
      </c>
      <c r="G120" s="84" t="inlineStr">
        <is>
          <t>Chengdu</t>
        </is>
      </c>
      <c r="H120" s="2" t="n"/>
      <c r="I120" s="2" t="n"/>
      <c r="J120" s="85" t="inlineStr">
        <is>
          <t>care_maintenance</t>
        </is>
      </c>
      <c r="K120" s="84" t="inlineStr">
        <is>
          <t>Lithium</t>
        </is>
      </c>
      <c r="L120" s="2" t="n"/>
      <c r="M120" s="2" t="n"/>
      <c r="N120" s="2" t="n"/>
      <c r="O120" s="55" t="n"/>
      <c r="P120" s="85" t="inlineStr">
        <is>
          <t>TRUE</t>
        </is>
      </c>
      <c r="Q120" s="85" t="inlineStr">
        <is>
          <t>battery_grade</t>
        </is>
      </c>
      <c r="R120" s="2" t="inlineStr">
        <is>
          <t>2825.20</t>
        </is>
      </c>
      <c r="S120" s="85" t="inlineStr">
        <is>
          <t>operator</t>
        </is>
      </c>
      <c r="T120" s="84" t="n">
        <v>1</v>
      </c>
      <c r="U120" s="84" t="inlineStr">
        <is>
          <t>https://www.sec.gov/Archives/edgar/data/915913/000091591326000018/alb-20251231.htm</t>
        </is>
      </c>
      <c r="V120" s="84" t="inlineStr">
        <is>
          <t>Vale 10-K Item 2: Technical + battery-grade lithium hydroxide conversion plant. Placed into care and maintenance during 2025; production transferred to other Albemarle China facilities (Meishan, Qinzhou, Xinyu). See Row 50 for the event. 100% Albemarle. *** ALB 10-K: Technical + battery-grade hydroxide. China. Per-facility production not disclosed. [HS BACKFILL 2026-07-10: 2825.20 - LiOH output; from product_end_use/name evidence, H6+mapping-table verified.]</t>
        </is>
      </c>
      <c r="W120" s="2" t="n"/>
      <c r="X120" s="2" t="n"/>
      <c r="Y120" s="2" t="n"/>
      <c r="Z120" s="2" t="n"/>
      <c r="AA120" s="86" t="inlineStr">
        <is>
          <t>Battery-grade lithium hydroxide (idle)</t>
        </is>
      </c>
    </row>
    <row r="121" ht="110" customHeight="1" s="74">
      <c r="A121" s="84" t="inlineStr">
        <is>
          <t>Albemarle Corporation</t>
        </is>
      </c>
      <c r="B121" s="84" t="inlineStr">
        <is>
          <t>US</t>
        </is>
      </c>
      <c r="C121" s="84" t="inlineStr">
        <is>
          <t>Xinyu</t>
        </is>
      </c>
      <c r="D121" s="85" t="inlineStr">
        <is>
          <t>refinery</t>
        </is>
      </c>
      <c r="E121" s="84" t="inlineStr">
        <is>
          <t>CN</t>
        </is>
      </c>
      <c r="F121" s="84" t="inlineStr">
        <is>
          <t>Jiangxi Province</t>
        </is>
      </c>
      <c r="G121" s="84" t="inlineStr">
        <is>
          <t>Xinyu</t>
        </is>
      </c>
      <c r="H121" s="2" t="n"/>
      <c r="I121" s="2" t="n"/>
      <c r="J121" s="85" t="inlineStr">
        <is>
          <t>operating</t>
        </is>
      </c>
      <c r="K121" s="84" t="inlineStr">
        <is>
          <t>Lithium</t>
        </is>
      </c>
      <c r="L121" s="2" t="n"/>
      <c r="M121" s="2" t="n"/>
      <c r="N121" s="2" t="n"/>
      <c r="O121" s="55" t="n"/>
      <c r="P121" s="85" t="inlineStr">
        <is>
          <t>TRUE</t>
        </is>
      </c>
      <c r="Q121" s="85" t="inlineStr">
        <is>
          <t>battery_grade</t>
        </is>
      </c>
      <c r="R121" s="2" t="inlineStr">
        <is>
          <t>2825.20</t>
        </is>
      </c>
      <c r="S121" s="85" t="inlineStr">
        <is>
          <t>operator</t>
        </is>
      </c>
      <c r="T121" s="84" t="n">
        <v>1</v>
      </c>
      <c r="U121" s="84" t="inlineStr">
        <is>
          <t>https://www.sec.gov/Archives/edgar/data/915913/000091591326000018/alb-20251231.htm</t>
        </is>
      </c>
      <c r="V121" s="84" t="inlineStr">
        <is>
          <t>Vale 10-K Item 2: Technical + battery-grade lithium hydroxide processing plant. Receives Greenbushes concentrate. 100% Albemarle. *** ALB 10-K: Technical + battery-grade hydroxide. China. Per-facility production not disclosed. [HS BACKFILL 2026-07-10: 2825.20 - LiOH output; from product_end_use/name evidence, H6+mapping-table verified.]</t>
        </is>
      </c>
      <c r="W121" s="2" t="n"/>
      <c r="X121" s="2" t="n"/>
      <c r="Y121" s="2" t="n"/>
      <c r="Z121" s="2" t="n"/>
      <c r="AA121" s="86" t="inlineStr">
        <is>
          <t>Battery-grade lithium hydroxide</t>
        </is>
      </c>
    </row>
    <row r="122" ht="15.75" customHeight="1" s="74">
      <c r="A122" s="84" t="inlineStr">
        <is>
          <t>Albemarle Corporation</t>
        </is>
      </c>
      <c r="B122" s="84" t="inlineStr">
        <is>
          <t>US</t>
        </is>
      </c>
      <c r="C122" s="84" t="inlineStr">
        <is>
          <t>Baton Rouge R&amp;D</t>
        </is>
      </c>
      <c r="D122" s="85" t="inlineStr">
        <is>
          <t>processing</t>
        </is>
      </c>
      <c r="E122" s="84" t="inlineStr">
        <is>
          <t>US</t>
        </is>
      </c>
      <c r="F122" s="84" t="inlineStr">
        <is>
          <t>Louisiana</t>
        </is>
      </c>
      <c r="G122" s="84" t="inlineStr">
        <is>
          <t>Baton Rouge</t>
        </is>
      </c>
      <c r="H122" s="2" t="n"/>
      <c r="I122" s="2" t="n"/>
      <c r="J122" s="85" t="inlineStr">
        <is>
          <t>operating</t>
        </is>
      </c>
      <c r="K122" s="84" t="inlineStr">
        <is>
          <t>Bromine</t>
        </is>
      </c>
      <c r="L122" s="2" t="n"/>
      <c r="M122" s="2" t="n"/>
      <c r="N122" s="2" t="n"/>
      <c r="O122" s="55" t="n"/>
      <c r="P122" s="85" t="inlineStr">
        <is>
          <t>TRUE</t>
        </is>
      </c>
      <c r="Q122" s="85" t="inlineStr">
        <is>
          <t>refined</t>
        </is>
      </c>
      <c r="R122" s="2" t="n"/>
      <c r="S122" s="85" t="inlineStr">
        <is>
          <t>lessee</t>
        </is>
      </c>
      <c r="T122" s="84" t="n">
        <v>1</v>
      </c>
      <c r="U122" s="84" t="inlineStr">
        <is>
          <t>https://www.sec.gov/Archives/edgar/data/915913/000091591326000018/alb-20251231.htm</t>
        </is>
      </c>
      <c r="V122" s="84" t="inlineStr">
        <is>
          <t>Vale 10-K Item 2: R&amp;D + fire safety solutions production. LEASED site. Part of Specialties segment. [HS BACKFILL 2026-07-10: left blank - no Bromine HS nodes seeded - non-launch; taxonomy gap noted.]</t>
        </is>
      </c>
      <c r="W122" s="2" t="n"/>
      <c r="X122" s="2" t="n"/>
      <c r="Y122" s="2" t="n"/>
      <c r="Z122" s="2" t="n"/>
      <c r="AA122" s="86" t="inlineStr">
        <is>
          <t>Fire safety chemicals + R&amp;D</t>
        </is>
      </c>
    </row>
    <row r="123" ht="15.75" customHeight="1" s="74">
      <c r="A123" s="84" t="inlineStr">
        <is>
          <t>Albemarle Corporation</t>
        </is>
      </c>
      <c r="B123" s="84" t="inlineStr">
        <is>
          <t>US</t>
        </is>
      </c>
      <c r="C123" s="84" t="inlineStr">
        <is>
          <t>Langelsheim</t>
        </is>
      </c>
      <c r="D123" s="85" t="inlineStr">
        <is>
          <t>refinery</t>
        </is>
      </c>
      <c r="E123" s="84" t="inlineStr">
        <is>
          <t>DE</t>
        </is>
      </c>
      <c r="F123" s="84" t="inlineStr">
        <is>
          <t>Lower Saxony</t>
        </is>
      </c>
      <c r="G123" s="84" t="inlineStr">
        <is>
          <t>Langelsheim</t>
        </is>
      </c>
      <c r="H123" s="2" t="n"/>
      <c r="I123" s="2" t="n"/>
      <c r="J123" s="85" t="inlineStr">
        <is>
          <t>operating</t>
        </is>
      </c>
      <c r="K123" s="84" t="inlineStr">
        <is>
          <t>Lithium</t>
        </is>
      </c>
      <c r="L123" s="2" t="n"/>
      <c r="M123" s="2" t="n"/>
      <c r="N123" s="2" t="n"/>
      <c r="O123" s="55" t="n"/>
      <c r="P123" s="85" t="inlineStr">
        <is>
          <t>TRUE</t>
        </is>
      </c>
      <c r="Q123" s="85" t="inlineStr">
        <is>
          <t>refined</t>
        </is>
      </c>
      <c r="R123" s="2" t="inlineStr">
        <is>
          <t>2530.90</t>
        </is>
      </c>
      <c r="S123" s="85" t="inlineStr">
        <is>
          <t>operator</t>
        </is>
      </c>
      <c r="T123" s="84" t="n">
        <v>1</v>
      </c>
      <c r="U123" s="84" t="inlineStr">
        <is>
          <t>https://www.sec.gov/Archives/edgar/data/915913/000091591326000018/alb-20251231.htm</t>
        </is>
      </c>
      <c r="V123" s="84" t="inlineStr">
        <is>
          <t>Vale 10-K Item 2: Produces butyllithium, lithium chloride, specialty products, lithium hydrides, cesium and special metals. Owned. Specialties segment. [HS BACKFILL 2026-07-10: 2530.90 - default hard-rock (REVIEW); from product_end_use/name evidence, H6+mapping-table verified.]</t>
        </is>
      </c>
      <c r="W123" s="2" t="n"/>
      <c r="X123" s="2" t="n"/>
      <c r="Y123" s="2" t="n"/>
      <c r="Z123" s="2" t="n"/>
      <c r="AA123" s="86" t="inlineStr">
        <is>
          <t>Butyllithium + specialty lithium products + cesium</t>
        </is>
      </c>
    </row>
    <row r="124" ht="15.75" customHeight="1" s="74">
      <c r="A124" s="84" t="inlineStr">
        <is>
          <t>Albemarle Corporation</t>
        </is>
      </c>
      <c r="B124" s="84" t="inlineStr">
        <is>
          <t>US</t>
        </is>
      </c>
      <c r="C124" s="84" t="inlineStr">
        <is>
          <t>Magnolia</t>
        </is>
      </c>
      <c r="D124" s="85" t="inlineStr">
        <is>
          <t>mine</t>
        </is>
      </c>
      <c r="E124" s="84" t="inlineStr">
        <is>
          <t>US</t>
        </is>
      </c>
      <c r="F124" s="84" t="inlineStr">
        <is>
          <t>Arkansas</t>
        </is>
      </c>
      <c r="G124" s="84" t="inlineStr">
        <is>
          <t>Magnolia</t>
        </is>
      </c>
      <c r="H124" s="2" t="n"/>
      <c r="I124" s="2" t="n"/>
      <c r="J124" s="85" t="inlineStr">
        <is>
          <t>operating</t>
        </is>
      </c>
      <c r="K124" s="84" t="inlineStr">
        <is>
          <t>Bromine</t>
        </is>
      </c>
      <c r="L124" s="2" t="n"/>
      <c r="M124" s="2" t="n"/>
      <c r="N124" s="84" t="n">
        <v>69000</v>
      </c>
      <c r="O124" s="85" t="inlineStr">
        <is>
          <t>t/yr</t>
        </is>
      </c>
      <c r="P124" s="85" t="inlineStr">
        <is>
          <t>TRUE</t>
        </is>
      </c>
      <c r="Q124" s="85" t="inlineStr">
        <is>
          <t>refined</t>
        </is>
      </c>
      <c r="R124" s="2" t="n"/>
      <c r="S124" s="85" t="inlineStr">
        <is>
          <t>operator</t>
        </is>
      </c>
      <c r="T124" s="84" t="n">
        <v>1</v>
      </c>
      <c r="U124" s="84" t="inlineStr">
        <is>
          <t>https://www.sec.gov/Archives/edgar/data/915913/000091591326000018/alb-20251231.htm</t>
        </is>
      </c>
      <c r="V124" s="84" t="inlineStr">
        <is>
          <t>Vale 10-K Item 2: Bromine extraction + fire safety solutions + inorganic bromides + agricultural intermediates + tertiary amines. Located Columbia County, AR (~50 miles E of Texarkana). Extracts bromine from &gt;50 underground brine wells in the Jurassic Smackover Formation (subsurface 7,000+ ft). Bromine extraction began 1965. Also produces elemental sulfur and NaHS as byproducts. 2025 production 69 kt bromine (+6% YoY). Reserves 2.7 Mt bromine (-9% YoY). *** ALB 10-K Aggregate Annual Production (p.34) FY25: 69 kt Br (Albemarle 100%). Up from 65 kt FY24, 65 kt FY23. Brine operation Arkansas USA. Also manufactures elemental sulfur + NaHS from sour gas (immaterial byproducts). [HS BACKFILL 2026-07-10: left blank - no Bromine HS nodes seeded - non-launch; taxonomy gap noted.]</t>
        </is>
      </c>
      <c r="W124" s="84" t="n">
        <v>1965</v>
      </c>
      <c r="X124" s="84" t="inlineStr">
        <is>
          <t>brine</t>
        </is>
      </c>
      <c r="Y124" s="2" t="n"/>
      <c r="Z124" s="2" t="n"/>
      <c r="AA124" s="86" t="inlineStr">
        <is>
          <t>Fire safety chemicals + brominated intermediates</t>
        </is>
      </c>
    </row>
    <row r="125" ht="15.75" customHeight="1" s="74">
      <c r="A125" s="84" t="inlineStr">
        <is>
          <t>Albemarle Corporation</t>
        </is>
      </c>
      <c r="B125" s="84" t="inlineStr">
        <is>
          <t>US</t>
        </is>
      </c>
      <c r="C125" s="84" t="inlineStr">
        <is>
          <t>New Johnsonville</t>
        </is>
      </c>
      <c r="D125" s="85" t="inlineStr">
        <is>
          <t>refinery</t>
        </is>
      </c>
      <c r="E125" s="84" t="inlineStr">
        <is>
          <t>US</t>
        </is>
      </c>
      <c r="F125" s="84" t="inlineStr">
        <is>
          <t>Tennessee</t>
        </is>
      </c>
      <c r="G125" s="84" t="inlineStr">
        <is>
          <t>New Johnsonville</t>
        </is>
      </c>
      <c r="H125" s="2" t="n"/>
      <c r="I125" s="2" t="n"/>
      <c r="J125" s="85" t="inlineStr">
        <is>
          <t>operating</t>
        </is>
      </c>
      <c r="K125" s="84" t="inlineStr">
        <is>
          <t>Lithium</t>
        </is>
      </c>
      <c r="L125" s="2" t="n"/>
      <c r="M125" s="2" t="n"/>
      <c r="N125" s="2" t="n"/>
      <c r="O125" s="55" t="n"/>
      <c r="P125" s="85" t="inlineStr">
        <is>
          <t>TRUE</t>
        </is>
      </c>
      <c r="Q125" s="85" t="inlineStr">
        <is>
          <t>refined</t>
        </is>
      </c>
      <c r="R125" s="2" t="inlineStr">
        <is>
          <t>2530.90</t>
        </is>
      </c>
      <c r="S125" s="85" t="inlineStr">
        <is>
          <t>operator</t>
        </is>
      </c>
      <c r="T125" s="84" t="n">
        <v>1</v>
      </c>
      <c r="U125" s="84" t="inlineStr">
        <is>
          <t>https://www.sec.gov/Archives/edgar/data/915913/000091591326000018/alb-20251231.htm</t>
        </is>
      </c>
      <c r="V125" s="84" t="inlineStr">
        <is>
          <t>Vale 10-K Item 2: Produces butyllithium + specialty products. Owned. Specialties segment. [HS BACKFILL 2026-07-10: 2530.90 - default hard-rock (REVIEW); from product_end_use/name evidence, H6+mapping-table verified.]</t>
        </is>
      </c>
      <c r="W125" s="2" t="n"/>
      <c r="X125" s="2" t="n"/>
      <c r="Y125" s="2" t="n"/>
      <c r="Z125" s="2" t="n"/>
      <c r="AA125" s="86" t="inlineStr">
        <is>
          <t>Butyllithium + specialty lithium</t>
        </is>
      </c>
    </row>
    <row r="126" ht="15.75" customHeight="1" s="74">
      <c r="A126" s="84" t="inlineStr">
        <is>
          <t>Albemarle Corporation</t>
        </is>
      </c>
      <c r="B126" s="84" t="inlineStr">
        <is>
          <t>US</t>
        </is>
      </c>
      <c r="C126" s="84" t="inlineStr">
        <is>
          <t>Safi</t>
        </is>
      </c>
      <c r="D126" s="85" t="inlineStr">
        <is>
          <t>refinery</t>
        </is>
      </c>
      <c r="E126" s="84" t="inlineStr">
        <is>
          <t>JO</t>
        </is>
      </c>
      <c r="F126" s="84" t="inlineStr">
        <is>
          <t>Karak Governorate</t>
        </is>
      </c>
      <c r="G126" s="84" t="inlineStr">
        <is>
          <t>Safi</t>
        </is>
      </c>
      <c r="H126" s="84" t="n">
        <v>31.143</v>
      </c>
      <c r="I126" s="84" t="n">
        <v>35.526</v>
      </c>
      <c r="J126" s="85" t="inlineStr">
        <is>
          <t>operating</t>
        </is>
      </c>
      <c r="K126" s="84" t="inlineStr">
        <is>
          <t>Bromine</t>
        </is>
      </c>
      <c r="L126" s="2" t="n"/>
      <c r="M126" s="2" t="n"/>
      <c r="N126" s="84" t="n">
        <v>57000</v>
      </c>
      <c r="O126" s="85" t="inlineStr">
        <is>
          <t>t/yr</t>
        </is>
      </c>
      <c r="P126" s="85" t="inlineStr">
        <is>
          <t>TRUE</t>
        </is>
      </c>
      <c r="Q126" s="85" t="inlineStr">
        <is>
          <t>refined</t>
        </is>
      </c>
      <c r="R126" s="2" t="n"/>
      <c r="S126" s="85" t="inlineStr">
        <is>
          <t>jv_partner</t>
        </is>
      </c>
      <c r="T126" s="84" t="n">
        <v>0.5</v>
      </c>
      <c r="U126" s="84" t="inlineStr">
        <is>
          <t>https://www.sec.gov/Archives/edgar/data/915913/000091591326000018/alb-20251231.htm</t>
        </is>
      </c>
      <c r="V126" s="84" t="inlineStr">
        <is>
          <t>Vale 10-K Item 2: Bromine + derivatives + fire safety solutions. Southeastern edge of Dead Sea, ~6km N of Arab Potash Company (APC) plant. 33 hectare site. Operated by Jordan Bromine Company (JBC), a CONSOLIDATED JV established 1999: ALBEMARLE 50% + Arab Potash Company 50%. Dead Sea concession granted APC by Government of Hashemite Kingdom of Jordan in 1958, exclusive rights until 2058. Feedstock: high-bromine Dead Sea brine (~8,775 ppm bromide ion). 2025 production 57 kt bromine attributable to Albemarle. Reserves 2.1 Mt bromine (+5% YoY). Products ship in bulk through storage terminal in Aqaba. *** ALB 10-K Aggregate Annual Production (p.34) FY25: 57 kt Br (Albemarle 50% via Jordan Bromine Company JBC JV). Stable (56 FY24, 58 FY23). Brine operation Jordan. Also produces KOH byproduct (immaterial). Row 55 severe weather $14M impact FY24. [HS BACKFILL 2026-07-10: left blank - no Bromine HS nodes seeded - non-launch; taxonomy gap noted.]</t>
        </is>
      </c>
      <c r="W126" s="84" t="n">
        <v>1999</v>
      </c>
      <c r="X126" s="2" t="n"/>
      <c r="Y126" s="2" t="n"/>
      <c r="Z126" s="84" t="n">
        <v>2058</v>
      </c>
      <c r="AA126" s="86" t="inlineStr">
        <is>
          <t>Bromine + brominated fire safety chemicals</t>
        </is>
      </c>
    </row>
    <row r="127" ht="15.75" customHeight="1" s="74">
      <c r="A127" s="84" t="inlineStr">
        <is>
          <t>Albemarle Corporation</t>
        </is>
      </c>
      <c r="B127" s="84" t="inlineStr">
        <is>
          <t>US</t>
        </is>
      </c>
      <c r="C127" s="84" t="inlineStr">
        <is>
          <t>Taichung</t>
        </is>
      </c>
      <c r="D127" s="85" t="inlineStr">
        <is>
          <t>refinery</t>
        </is>
      </c>
      <c r="E127" s="84" t="inlineStr">
        <is>
          <t>TW</t>
        </is>
      </c>
      <c r="F127" s="84" t="inlineStr">
        <is>
          <t>Central Taiwan</t>
        </is>
      </c>
      <c r="G127" s="84" t="inlineStr">
        <is>
          <t>Taichung</t>
        </is>
      </c>
      <c r="H127" s="2" t="n"/>
      <c r="I127" s="2" t="n"/>
      <c r="J127" s="85" t="inlineStr">
        <is>
          <t>operating</t>
        </is>
      </c>
      <c r="K127" s="84" t="inlineStr">
        <is>
          <t>Lithium</t>
        </is>
      </c>
      <c r="L127" s="2" t="n"/>
      <c r="M127" s="2" t="n"/>
      <c r="N127" s="2" t="n"/>
      <c r="O127" s="55" t="n"/>
      <c r="P127" s="85" t="inlineStr">
        <is>
          <t>TRUE</t>
        </is>
      </c>
      <c r="Q127" s="85" t="inlineStr">
        <is>
          <t>refined</t>
        </is>
      </c>
      <c r="R127" s="2" t="inlineStr">
        <is>
          <t>2530.90</t>
        </is>
      </c>
      <c r="S127" s="85" t="inlineStr">
        <is>
          <t>operator</t>
        </is>
      </c>
      <c r="T127" s="84" t="n">
        <v>1</v>
      </c>
      <c r="U127" s="84" t="inlineStr">
        <is>
          <t>https://www.sec.gov/Archives/edgar/data/915913/000091591326000018/alb-20251231.htm</t>
        </is>
      </c>
      <c r="V127" s="84" t="inlineStr">
        <is>
          <t>Vale 10-K Item 2: Butyllithium production. Owned. Specialties segment. [HS BACKFILL 2026-07-10: 2530.90 - default hard-rock (REVIEW); from product_end_use/name evidence, H6+mapping-table verified.]</t>
        </is>
      </c>
      <c r="W127" s="2" t="n"/>
      <c r="X127" s="2" t="n"/>
      <c r="Y127" s="2" t="n"/>
      <c r="Z127" s="2" t="n"/>
      <c r="AA127" s="86" t="inlineStr">
        <is>
          <t>Butyllithium</t>
        </is>
      </c>
    </row>
    <row r="128" ht="15.75" customHeight="1" s="74">
      <c r="A128" s="2" t="inlineStr">
        <is>
          <t>BHP Group</t>
        </is>
      </c>
      <c r="B128" s="2" t="inlineStr">
        <is>
          <t>AU</t>
        </is>
      </c>
      <c r="C128" s="2" t="inlineStr">
        <is>
          <t>Pedra Branca Mine</t>
        </is>
      </c>
      <c r="D128" s="55" t="inlineStr">
        <is>
          <t>mine</t>
        </is>
      </c>
      <c r="E128" s="2" t="inlineStr">
        <is>
          <t>BR</t>
        </is>
      </c>
      <c r="F128" s="2" t="inlineStr">
        <is>
          <t>Pará</t>
        </is>
      </c>
      <c r="G128" s="2" t="inlineStr">
        <is>
          <t>Água Azul do Norte</t>
        </is>
      </c>
      <c r="H128" s="2" t="n"/>
      <c r="I128" s="2" t="n"/>
      <c r="J128" s="55" t="inlineStr">
        <is>
          <t>operating</t>
        </is>
      </c>
      <c r="K128" s="2" t="inlineStr">
        <is>
          <t>Copper</t>
        </is>
      </c>
      <c r="L128" s="2" t="n"/>
      <c r="M128" s="2" t="n"/>
      <c r="N128" s="2" t="n">
        <v>9400</v>
      </c>
      <c r="O128" s="55" t="inlineStr">
        <is>
          <t>tonnes Cu</t>
        </is>
      </c>
      <c r="P128" s="55" t="inlineStr">
        <is>
          <t>TRUE</t>
        </is>
      </c>
      <c r="Q128" s="55" t="inlineStr">
        <is>
          <t>ore</t>
        </is>
      </c>
      <c r="R128" s="2" t="inlineStr">
        <is>
          <t>260300</t>
        </is>
      </c>
      <c r="S128" s="55" t="inlineStr">
        <is>
          <t>operator</t>
        </is>
      </c>
      <c r="T128" s="2" t="n">
        <v>1</v>
      </c>
      <c r="U128" s="2" t="inlineStr">
        <is>
          <t>https://www.sec.gov/Archives/edgar/data/811809/000119312525185641/d941636d20f.htm</t>
        </is>
      </c>
      <c r="V128" s="2" t="inlineStr">
        <is>
          <t>BHP 2025 20-F Additional Info 1 (Info on Mining Operations, p.192): Underground IOCG (iron oxide copper gold) mine, ~160 km from Marabá, ~900 km from Belém. Operated by OZ Minerals Brasil (BHP 100% via 2023 OZ acquisition). Underground mining commenced 2021; ramped to full production 2022. Chalcopyrite dominant Cu mineralisation, high-grade semi-massive and breccia style. Product processed at Antas Norte Plant (Curionópolis). Transport: public road PA 150 → Parauapebas → rail to Port of Itaqui (São Luiz, Maranhão). *** PENDING DIVESTMENT: Aug 15 2025 binding agreement to sell to CoreX Holding subsidiary for up to US$465M (with Antas Norte + Santa Lúcia). Expected close early CY2026. See risk event Row 59. *** AI4 FY25 Carajás line: 9.4 kt Cu (BHP 100%, up from 8.2 kt FY24 and 1.6 kt FY23). Also 7,306 troy oz gold FY25. Pending divestment to CoreX Holding subsidiary — see Row 59. *** AI Sec 6 Copper Reserves table does NOT explicitly break out Carajás — but FY25 production 9.4 kt Cu confirms current production stage. Reserves may be included in "Total copper 5,290 Mt" reconciliation (5,290 = Escondida 3,410 + Pampa Norte 938 + Olympic Dam 590 + Prominent Hill/Carrapateena 171 + Antamina 178 = 5,287; small residual ~3 Mt may cover Carajás). Pending divestment to CoreX Holding — see Row 59.</t>
        </is>
      </c>
      <c r="W128" s="2" t="n">
        <v>2021</v>
      </c>
      <c r="X128" s="2" t="inlineStr">
        <is>
          <t>underground</t>
        </is>
      </c>
      <c r="Y128" s="2" t="n"/>
      <c r="Z128" s="2" t="n"/>
      <c r="AA128" s="0" t="inlineStr">
        <is>
          <t>copper concentrate</t>
        </is>
      </c>
    </row>
    <row r="129" ht="15.75" customHeight="1" s="74">
      <c r="A129" s="2" t="inlineStr">
        <is>
          <t>BHP Group</t>
        </is>
      </c>
      <c r="B129" s="2" t="inlineStr">
        <is>
          <t>AU</t>
        </is>
      </c>
      <c r="C129" s="2" t="inlineStr">
        <is>
          <t>Antas Norte Processing Plant</t>
        </is>
      </c>
      <c r="D129" s="55" t="inlineStr">
        <is>
          <t>processing</t>
        </is>
      </c>
      <c r="E129" s="2" t="inlineStr">
        <is>
          <t>BR</t>
        </is>
      </c>
      <c r="F129" s="2" t="inlineStr">
        <is>
          <t>Pará</t>
        </is>
      </c>
      <c r="G129" s="2" t="inlineStr">
        <is>
          <t>Curionópolis</t>
        </is>
      </c>
      <c r="H129" s="2" t="n"/>
      <c r="I129" s="2" t="n"/>
      <c r="J129" s="55" t="inlineStr">
        <is>
          <t>operating</t>
        </is>
      </c>
      <c r="K129" s="2" t="inlineStr">
        <is>
          <t>Copper</t>
        </is>
      </c>
      <c r="L129" s="2" t="n">
        <v>800000</v>
      </c>
      <c r="M129" s="2" t="inlineStr">
        <is>
          <t>t/yr</t>
        </is>
      </c>
      <c r="N129" s="2" t="n"/>
      <c r="O129" s="55" t="n"/>
      <c r="P129" s="55" t="inlineStr">
        <is>
          <t>TRUE</t>
        </is>
      </c>
      <c r="Q129" s="55" t="inlineStr">
        <is>
          <t>concentrate</t>
        </is>
      </c>
      <c r="R129" s="2" t="inlineStr">
        <is>
          <t>260300</t>
        </is>
      </c>
      <c r="S129" s="55" t="inlineStr">
        <is>
          <t>operator</t>
        </is>
      </c>
      <c r="T129" s="2" t="n">
        <v>1</v>
      </c>
      <c r="U129" s="2" t="inlineStr">
        <is>
          <t>https://www.sec.gov/Archives/edgar/data/811809/000119312525185641/d941636d20f.htm</t>
        </is>
      </c>
      <c r="V129" s="2" t="inlineStr">
        <is>
          <t>BHP 2025 20-F Additional Info 1 (p.192): 800 ktpa plant capacity in Curionópolis municipality (Pará). Processes ore from Pedra Branca. Tailings deposited in exhausted on-site mine. Originally received first developmental ore in 2020. Operated by OZ Minerals Brasil (BHP 100%). *** PENDING DIVESTMENT to CoreX Holding subsidiary (announced Aug 15 2025). See risk event Row 59. *** AI4 FY25: Pedra Branca production processed here (9.4 kt Cu). Plant capacity 800 ktpa ore. Pending divestment to CoreX Holding — see Row 59. [stage normalized "beneficiation"-&gt;"concentrate" 2026-07-07: concentrator output] [facility_type normalized "processing_plant"-&gt;"processing" 2026-07-07 per extended FacilityType enum] [capacity detail: tonnes]</t>
        </is>
      </c>
      <c r="W129" s="2" t="n">
        <v>2020</v>
      </c>
      <c r="X129" s="2" t="n"/>
      <c r="Y129" s="2" t="n"/>
      <c r="Z129" s="2" t="n"/>
      <c r="AA129" s="0" t="inlineStr">
        <is>
          <t>copper concentrate</t>
        </is>
      </c>
    </row>
    <row r="130" ht="15.75" customHeight="1" s="74">
      <c r="A130" s="2" t="inlineStr">
        <is>
          <t>BHP Group</t>
        </is>
      </c>
      <c r="B130" s="2" t="inlineStr">
        <is>
          <t>AU</t>
        </is>
      </c>
      <c r="C130" s="2" t="inlineStr">
        <is>
          <t>Santa Lúcia</t>
        </is>
      </c>
      <c r="D130" s="55" t="inlineStr">
        <is>
          <t>exploration_project</t>
        </is>
      </c>
      <c r="E130" s="2" t="inlineStr">
        <is>
          <t>BR</t>
        </is>
      </c>
      <c r="F130" s="2" t="inlineStr">
        <is>
          <t>Pará</t>
        </is>
      </c>
      <c r="G130" s="2" t="n"/>
      <c r="H130" s="2" t="n"/>
      <c r="I130" s="2" t="n"/>
      <c r="J130" s="55" t="inlineStr">
        <is>
          <t>planned</t>
        </is>
      </c>
      <c r="K130" s="2" t="inlineStr">
        <is>
          <t>Copper</t>
        </is>
      </c>
      <c r="L130" s="2" t="n"/>
      <c r="M130" s="2" t="n"/>
      <c r="N130" s="2" t="n">
        <v>0</v>
      </c>
      <c r="O130" s="55" t="inlineStr">
        <is>
          <t>tonnes Cu</t>
        </is>
      </c>
      <c r="P130" s="55" t="inlineStr">
        <is>
          <t>TRUE</t>
        </is>
      </c>
      <c r="Q130" s="55" t="inlineStr">
        <is>
          <t>ore</t>
        </is>
      </c>
      <c r="R130" s="2" t="inlineStr">
        <is>
          <t>260300</t>
        </is>
      </c>
      <c r="S130" s="55" t="inlineStr">
        <is>
          <t>operator</t>
        </is>
      </c>
      <c r="T130" s="2" t="n">
        <v>1</v>
      </c>
      <c r="U130" s="2" t="inlineStr">
        <is>
          <t>https://www.sec.gov/Archives/edgar/data/811809/000119312525185641/d941636d20f.htm</t>
        </is>
      </c>
      <c r="V130" s="2" t="inlineStr">
        <is>
          <t>BHP 2025 20-F Additional Info 1 (p.192): Development-stage project in Carajás Copper Region (Pará). Inaugural resource identification 2021. Permitting process granted by SEMAS (Pará State environment agency) in 2024. Not yet producing. Operated by OZ Minerals Brasil (BHP 100%). *** PENDING DIVESTMENT to CoreX Holding subsidiary (announced Aug 15 2025). See risk event Row 59. *** AI4 FY25: 0 production (development/permitting stage). Pending divestment to CoreX Holding — see Row 59. [stage normalized "exploration"-&gt;"ore" 2026-07-07: future ore output; project stage carried by status column] [status normalized "development"-&gt;"planned" 2026-07-07]</t>
        </is>
      </c>
      <c r="W130" s="2" t="n"/>
      <c r="X130" s="2" t="n"/>
      <c r="Y130" s="2" t="n"/>
      <c r="Z130" s="2" t="n"/>
      <c r="AA130" s="0" t="inlineStr">
        <is>
          <t>copper concentrate</t>
        </is>
      </c>
    </row>
    <row r="131" ht="15.75" customHeight="1" s="74">
      <c r="A131" s="2" t="inlineStr">
        <is>
          <t>BHP Group</t>
        </is>
      </c>
      <c r="B131" s="2" t="inlineStr">
        <is>
          <t>AU</t>
        </is>
      </c>
      <c r="C131" s="2" t="inlineStr">
        <is>
          <t>Escondida</t>
        </is>
      </c>
      <c r="D131" s="55" t="inlineStr">
        <is>
          <t>mine</t>
        </is>
      </c>
      <c r="E131" s="2" t="inlineStr">
        <is>
          <t>CL</t>
        </is>
      </c>
      <c r="F131" s="2" t="inlineStr">
        <is>
          <t>Antofagasta</t>
        </is>
      </c>
      <c r="G131" s="2" t="n"/>
      <c r="H131" s="2" t="n"/>
      <c r="I131" s="2" t="n"/>
      <c r="J131" s="55" t="inlineStr">
        <is>
          <t>operating</t>
        </is>
      </c>
      <c r="K131" s="2" t="inlineStr">
        <is>
          <t>Copper</t>
        </is>
      </c>
      <c r="L131" s="2" t="n"/>
      <c r="M131" s="2" t="n"/>
      <c r="N131" s="2" t="n">
        <v>1304900</v>
      </c>
      <c r="O131" s="55" t="inlineStr">
        <is>
          <t>tonnes Cu</t>
        </is>
      </c>
      <c r="P131" s="55" t="inlineStr">
        <is>
          <t>TRUE</t>
        </is>
      </c>
      <c r="Q131" s="55" t="inlineStr">
        <is>
          <t>ore</t>
        </is>
      </c>
      <c r="R131" s="2" t="inlineStr">
        <is>
          <t>260300</t>
        </is>
      </c>
      <c r="S131" s="55" t="inlineStr">
        <is>
          <t>jv_partner</t>
        </is>
      </c>
      <c r="T131" s="2" t="n">
        <v>0.575</v>
      </c>
      <c r="U131" s="2" t="inlineStr">
        <is>
          <t>https://www.sec.gov/Archives/edgar/data/811809/000119312525185641/d941636d20f.htm</t>
        </is>
      </c>
      <c r="V131" s="2" t="inlineStr">
        <is>
          <t>BHP 2025 20-F OFR 6.1 Escondida (p.22): Located in Atacama Desert, northern Chile. Two open-cut pits (incl. Escondida Norte) feed three concentrator plants + two leaching operations. Full SaL leaching (BHP-designed) first production Q4 FY25. Byproducts: gold, silver. FY25: highest production in 17 years, +16% YoY; concentrator feed grade 1.02% (FY24 0.88%). Escondida Norte pit achieved first full autonomous haulage FY25 (33 trucks by end June 2025). JV: BHP 57.5% operator + Rio Tinto 30% + JECO 10%. Two union collective agreements signed FY25 (Union N°1 effective 2 Aug 2024 for 36 months; Union N°3 effective 20 Dec 2024 for 36 months). FY26 production guidance 1,150-1,250 kt at ~0.85% feed grade. *** AI4 FY25: 1,127.2 kt Cu concentrate + 177.7 kt cathode = 1,304.9 kt total Cu (BHP 57.5% share). Also 169,075 troy oz gold, 6,858 troy koz silver concentrate. *** AI Sec 6 Copper Reserves (30 Jun 2025, BHP 57.5% share): Total 3,410 Mt @ 0.56% Cu (2,560 Mt Proven @ 0.57% + 853 Mt Probable @ 0.52%). Split: Sulphide 2,470 Mt @ 0.60%, Sulphide Leach 823 Mt @ 0.39%, Full SaL 117 Mt @ 0.77%. Life of mine 30+ years at current run rate. FY24 total resources 7,280 Mt (unchanged FY25). Reserves declined -120 Mt YoY (-3%) due to depletion. Reserve pricing basis US$4.00/lb Cu. Metallurgical recoveries: Full SaL 76%, Sulphide 85%, Sulphide Leach 42%. 764 mining concessions covering 406,018 ha. [OWNERSHIP TYPE FIX 2026-07-10: was 'jv_partner_operator' (operator-side JV) - loader enum has no operator-distinction.]</t>
        </is>
      </c>
      <c r="W131" s="2" t="n"/>
      <c r="X131" s="2" t="inlineStr">
        <is>
          <t>open_pit</t>
        </is>
      </c>
      <c r="Y131" s="2" t="n"/>
      <c r="Z131" s="2" t="n"/>
      <c r="AA131" s="0" t="inlineStr">
        <is>
          <t>copper concentrate + cathode</t>
        </is>
      </c>
    </row>
    <row r="132" ht="15.75" customHeight="1" s="74">
      <c r="A132" s="2" t="inlineStr">
        <is>
          <t>BHP Group</t>
        </is>
      </c>
      <c r="B132" s="2" t="inlineStr">
        <is>
          <t>AU</t>
        </is>
      </c>
      <c r="C132" s="2" t="inlineStr">
        <is>
          <t>Spence</t>
        </is>
      </c>
      <c r="D132" s="55" t="inlineStr">
        <is>
          <t>mine</t>
        </is>
      </c>
      <c r="E132" s="2" t="inlineStr">
        <is>
          <t>CL</t>
        </is>
      </c>
      <c r="F132" s="2" t="inlineStr">
        <is>
          <t>Antofagasta</t>
        </is>
      </c>
      <c r="G132" s="2" t="n"/>
      <c r="H132" s="2" t="n"/>
      <c r="I132" s="2" t="n"/>
      <c r="J132" s="55" t="inlineStr">
        <is>
          <t>operating</t>
        </is>
      </c>
      <c r="K132" s="2" t="inlineStr">
        <is>
          <t>Copper</t>
        </is>
      </c>
      <c r="L132" s="2" t="n"/>
      <c r="M132" s="2" t="n"/>
      <c r="N132" s="2" t="n">
        <v>267600</v>
      </c>
      <c r="O132" s="55" t="inlineStr">
        <is>
          <t>tonnes Cu</t>
        </is>
      </c>
      <c r="P132" s="55" t="inlineStr">
        <is>
          <t>TRUE</t>
        </is>
      </c>
      <c r="Q132" s="55" t="inlineStr">
        <is>
          <t>ore</t>
        </is>
      </c>
      <c r="R132" s="2" t="inlineStr">
        <is>
          <t>260300</t>
        </is>
      </c>
      <c r="S132" s="55" t="inlineStr">
        <is>
          <t>operator</t>
        </is>
      </c>
      <c r="T132" s="2" t="n">
        <v>1</v>
      </c>
      <c r="U132" s="2" t="inlineStr">
        <is>
          <t>https://www.sec.gov/Archives/edgar/data/811809/000119312525185641/d941636d20f.htm</t>
        </is>
      </c>
      <c r="V132" s="2" t="inlineStr">
        <is>
          <t>BHP 2025 20-F OFR 6.1 Pampa Norte (p.22-23): Part of Pampa Norte (Atacama Desert, Chile). BHP 100%. Open-cut mine. Produces Cu cathodes and Cu concentrate. Byproducts: gold, silver, molybdenum. FY25 production 268 kt (+5% YoY, record). FY26 guidance 230-250 kt due to lower concentrator feed grades + higher transitional ore volumes. *** AI4 FY25: 150.6 kt Cu concentrate + 117.0 kt cathode = 267.6 kt total Cu (BHP 100%). Also 12,980 troy oz gold, 1,823 troy koz silver concentrate, 694 t molybdenum. *** AI Sec 6 Copper Reserves (Pampa Norte, BHP 100%): 938 Mt @ 0.52% Cu (555 Mt Proven @ 0.52% + 383 Mt Probable @ 0.51%). Includes Spence deposit (Cerro Colorado excluded per care &amp; maintenance). Reserve pricing basis US$4.03/lb median 3-year Cu.</t>
        </is>
      </c>
      <c r="W132" s="2" t="n"/>
      <c r="X132" s="2" t="inlineStr">
        <is>
          <t>open_pit</t>
        </is>
      </c>
      <c r="Y132" s="2" t="n"/>
      <c r="Z132" s="2" t="n"/>
      <c r="AA132" s="0" t="inlineStr">
        <is>
          <t>copper cathode + concentrate</t>
        </is>
      </c>
    </row>
    <row r="133" ht="15.75" customHeight="1" s="74">
      <c r="A133" s="2" t="inlineStr">
        <is>
          <t>BHP Group</t>
        </is>
      </c>
      <c r="B133" s="2" t="inlineStr">
        <is>
          <t>AU</t>
        </is>
      </c>
      <c r="C133" s="2" t="inlineStr">
        <is>
          <t>Cerro Colorado</t>
        </is>
      </c>
      <c r="D133" s="55" t="inlineStr">
        <is>
          <t>mine</t>
        </is>
      </c>
      <c r="E133" s="2" t="inlineStr">
        <is>
          <t>CL</t>
        </is>
      </c>
      <c r="F133" s="2" t="inlineStr">
        <is>
          <t>Tarapacá</t>
        </is>
      </c>
      <c r="G133" s="2" t="n"/>
      <c r="H133" s="2" t="n"/>
      <c r="I133" s="2" t="n"/>
      <c r="J133" s="55" t="inlineStr">
        <is>
          <t>care_maintenance</t>
        </is>
      </c>
      <c r="K133" s="2" t="inlineStr">
        <is>
          <t>Copper</t>
        </is>
      </c>
      <c r="L133" s="2" t="n"/>
      <c r="M133" s="2" t="n"/>
      <c r="N133" s="2" t="n">
        <v>0</v>
      </c>
      <c r="O133" s="55" t="inlineStr">
        <is>
          <t>tonnes Cu</t>
        </is>
      </c>
      <c r="P133" s="55" t="inlineStr">
        <is>
          <t>TRUE</t>
        </is>
      </c>
      <c r="Q133" s="55" t="inlineStr">
        <is>
          <t>ore</t>
        </is>
      </c>
      <c r="R133" s="2" t="inlineStr">
        <is>
          <t>260300</t>
        </is>
      </c>
      <c r="S133" s="55" t="inlineStr">
        <is>
          <t>operator</t>
        </is>
      </c>
      <c r="T133" s="2" t="n">
        <v>1</v>
      </c>
      <c r="U133" s="2" t="inlineStr">
        <is>
          <t>https://www.sec.gov/Archives/edgar/data/811809/000119312525185641/d941636d20f.htm</t>
        </is>
      </c>
      <c r="V133" s="2" t="inlineStr">
        <is>
          <t>BHP 2025 20-F OFR 6.1 Pampa Norte (p.23): Part of Pampa Norte. BHP 100%. TRANSITIONED TO TEMPORARY CARE AND MAINTENANCE IN DECEMBER 2023. BHP continuing to study application of BHP's SaL 1 leaching technology to potentially restart operations in the future. *** AI4 FY25: 0 production (temporary care and maintenance since December 2023). FY24 contributed 11 kt Cu. *** AI Sec 6: Cerro Colorado is under temporary care and maintenance since Dec 2023 — reserves not itemized separately from Pampa Norte total. BHP studying SaL 1 leaching technology to potentially restart operations.</t>
        </is>
      </c>
      <c r="W133" s="2" t="n"/>
      <c r="X133" s="2" t="inlineStr">
        <is>
          <t>open_pit</t>
        </is>
      </c>
      <c r="Y133" s="2" t="n"/>
      <c r="Z133" s="2" t="n"/>
      <c r="AA133" s="0" t="inlineStr">
        <is>
          <t>copper cathode</t>
        </is>
      </c>
    </row>
    <row r="134" ht="15.75" customHeight="1" s="74">
      <c r="A134" s="2" t="inlineStr">
        <is>
          <t>BHP Group</t>
        </is>
      </c>
      <c r="B134" s="2" t="inlineStr">
        <is>
          <t>AU</t>
        </is>
      </c>
      <c r="C134" s="2" t="inlineStr">
        <is>
          <t>Olympic Dam</t>
        </is>
      </c>
      <c r="D134" s="55" t="inlineStr">
        <is>
          <t>mine</t>
        </is>
      </c>
      <c r="E134" s="2" t="inlineStr">
        <is>
          <t>AU</t>
        </is>
      </c>
      <c r="F134" s="2" t="inlineStr">
        <is>
          <t>South Australia</t>
        </is>
      </c>
      <c r="G134" s="2" t="n"/>
      <c r="H134" s="2" t="n"/>
      <c r="I134" s="2" t="n"/>
      <c r="J134" s="55" t="inlineStr">
        <is>
          <t>operating</t>
        </is>
      </c>
      <c r="K134" s="2" t="inlineStr">
        <is>
          <t>Copper</t>
        </is>
      </c>
      <c r="L134" s="2" t="n"/>
      <c r="M134" s="2" t="n"/>
      <c r="N134" s="2" t="n">
        <v>315900</v>
      </c>
      <c r="O134" s="55" t="inlineStr">
        <is>
          <t>tonnes Cu (Copper SA aggregate)</t>
        </is>
      </c>
      <c r="P134" s="55" t="inlineStr">
        <is>
          <t>TRUE</t>
        </is>
      </c>
      <c r="Q134" s="55" t="inlineStr">
        <is>
          <t>refined</t>
        </is>
      </c>
      <c r="R134" s="2" t="inlineStr">
        <is>
          <t>260300</t>
        </is>
      </c>
      <c r="S134" s="55" t="inlineStr">
        <is>
          <t>operator</t>
        </is>
      </c>
      <c r="T134" s="2" t="n">
        <v>1</v>
      </c>
      <c r="U134" s="2" t="inlineStr">
        <is>
          <t>https://www.sec.gov/Archives/edgar/data/811809/000119312525185641/d941636d20f.htm</t>
        </is>
      </c>
      <c r="V134" s="2" t="inlineStr">
        <is>
          <t>BHP 2025 20-F OFR 6.1 Copper South Australia (p.23-24): Underground mining and INTEGRATED CRUSHING, GRINDING, CONCENTRATING, SMELTING, AND REFINING operations. Produces COPPER CATHODE + GOLD/SILVER BULLION + URANIUM OXIDE CONCENTRATE. Located in Gawler Craton. BHP 100%. Q2 FY2025 impacted by SIGNIFICANT TWO-WEEK WEATHER-RELATED POWER OUTAGE (see risk event Row 69). FY25 uranium production 3.2 kt (FY24 3.6 kt). US$200M underground development approved for Southern Mine Area — new decline expected to unlock up to 2.5 Mtpa additional vertical capacity, completion expected FY2028. *** AI4 FY25: Copper SA aggregate 101.9 kt Cu concentrate + 214.0 kt cathode = 315.9 kt total Cu (BHP 100%, incl. Olympic Dam + Prominent Hill + Carrapateena — filing does not disaggregate). Also 172,565 troy oz gold + 188,658 troy oz refined gold; 913 troy koz silver + 1,017 troy koz refined silver; 3,154 t URANIUM (all at Olympic Dam). Prominent Hill + Carrapateena rows have production_tpy blank per BHP aggregate reporting. *** AI Sec 6 Copper Reserves (BHP 100%): 590 Mt @ 1.82% Cu + 0.58 kg/t U3O8 + 0.68 g/t Au + 4 g/t Ag (342 Mt Proven @ 1.90% + 248 Mt Probable @ 1.71%). UNDERGROUND. Life of mine 100+ years at current run rate. Reserve pricing: Cu US$4.00/lb, U3O8 US$51.04/lb, Au US$1904.41/oz, Ag US$23.35/oz. Southern Mine Area decline approved US$200M — unlocks 2.5 Mtpa additional vertical capacity FY2028. [stage normalized "refining"-&gt;"refined" 2026-07-07: Olympic Dam integrated mine-smelter-refinery, sells Cu cathode]</t>
        </is>
      </c>
      <c r="W134" s="2" t="n"/>
      <c r="X134" s="2" t="inlineStr">
        <is>
          <t>underground</t>
        </is>
      </c>
      <c r="Y134" s="2" t="n"/>
      <c r="Z134" s="2" t="n"/>
      <c r="AA134" s="0" t="inlineStr">
        <is>
          <t>copper cathode + gold + silver + uranium oxide</t>
        </is>
      </c>
    </row>
    <row r="135" ht="15.75" customHeight="1" s="74">
      <c r="A135" s="2" t="inlineStr">
        <is>
          <t>BHP Group</t>
        </is>
      </c>
      <c r="B135" s="2" t="inlineStr">
        <is>
          <t>AU</t>
        </is>
      </c>
      <c r="C135" s="2" t="inlineStr">
        <is>
          <t>Carrapateena</t>
        </is>
      </c>
      <c r="D135" s="55" t="inlineStr">
        <is>
          <t>mine</t>
        </is>
      </c>
      <c r="E135" s="2" t="inlineStr">
        <is>
          <t>AU</t>
        </is>
      </c>
      <c r="F135" s="2" t="inlineStr">
        <is>
          <t>South Australia</t>
        </is>
      </c>
      <c r="G135" s="2" t="n"/>
      <c r="H135" s="2" t="n"/>
      <c r="I135" s="2" t="n"/>
      <c r="J135" s="55" t="inlineStr">
        <is>
          <t>operating</t>
        </is>
      </c>
      <c r="K135" s="2" t="inlineStr">
        <is>
          <t>Copper</t>
        </is>
      </c>
      <c r="L135" s="2" t="n">
        <v>7000000</v>
      </c>
      <c r="M135" s="2" t="inlineStr">
        <is>
          <t>t/yr</t>
        </is>
      </c>
      <c r="N135" s="2" t="n"/>
      <c r="O135" s="55" t="n"/>
      <c r="P135" s="55" t="inlineStr">
        <is>
          <t>TRUE</t>
        </is>
      </c>
      <c r="Q135" s="55" t="inlineStr">
        <is>
          <t>ore</t>
        </is>
      </c>
      <c r="R135" s="2" t="inlineStr">
        <is>
          <t>260300</t>
        </is>
      </c>
      <c r="S135" s="55" t="inlineStr">
        <is>
          <t>operator</t>
        </is>
      </c>
      <c r="T135" s="2" t="n">
        <v>1</v>
      </c>
      <c r="U135" s="2" t="inlineStr">
        <is>
          <t>https://www.sec.gov/Archives/edgar/data/811809/000119312525185641/d941636d20f.htm</t>
        </is>
      </c>
      <c r="V135" s="2" t="inlineStr">
        <is>
          <t>BHP 2025 20-F OFR 6.1 Copper South Australia (p.23-24): Underground mining + surface grinding + concentrating. Produces copper concentrate with gold + silver byproducts. Part of Copper SA (Gawler Craton). BHP 100%. FY25: record gold production 99 ktoz (91 ktoz FY24). Higher productivity from sub-level cave. Hydrofloat technology commissioned Q4 FY25 — key enabler to uplift processing throughput up to 7 Mtpa of mined ore. *** AI4 FY25: production BUNDLED INTO OLYMPIC DAM ROW (Copper SA aggregate 315.9 kt Cu). Copper concentrate transfers of 12.0 kt copper contained to Olympic Dam (FY24: 12.6 kt); FY25 record gold production 99 ktoz (91 ktoz FY24). Hydrofloat commissioned Q4 FY25. *** AI Sec 6: Reserves reported COMBINED with Prominent Hill (171 Mt @ 1.11% Cu, BHP 100%). Sub-level cave operation with hydrofloat processing throughput uplift to 7 Mtpa post-Q4 FY25 commissioning. [capacity detail: tonnes ore/year (post-Hydrofloat FY25)]</t>
        </is>
      </c>
      <c r="W135" s="2" t="n"/>
      <c r="X135" s="2" t="inlineStr">
        <is>
          <t>underground</t>
        </is>
      </c>
      <c r="Y135" s="2" t="n"/>
      <c r="Z135" s="2" t="n"/>
      <c r="AA135" s="0" t="inlineStr">
        <is>
          <t>copper concentrate</t>
        </is>
      </c>
    </row>
    <row r="136" ht="15.75" customHeight="1" s="74">
      <c r="A136" s="2" t="inlineStr">
        <is>
          <t>BHP Group</t>
        </is>
      </c>
      <c r="B136" s="2" t="inlineStr">
        <is>
          <t>AU</t>
        </is>
      </c>
      <c r="C136" s="2" t="inlineStr">
        <is>
          <t>Prominent Hill</t>
        </is>
      </c>
      <c r="D136" s="55" t="inlineStr">
        <is>
          <t>mine</t>
        </is>
      </c>
      <c r="E136" s="2" t="inlineStr">
        <is>
          <t>AU</t>
        </is>
      </c>
      <c r="F136" s="2" t="inlineStr">
        <is>
          <t>South Australia</t>
        </is>
      </c>
      <c r="G136" s="2" t="n"/>
      <c r="H136" s="2" t="n"/>
      <c r="I136" s="2" t="n"/>
      <c r="J136" s="55" t="inlineStr">
        <is>
          <t>operating</t>
        </is>
      </c>
      <c r="K136" s="2" t="inlineStr">
        <is>
          <t>Copper</t>
        </is>
      </c>
      <c r="L136" s="2" t="n"/>
      <c r="M136" s="2" t="n"/>
      <c r="N136" s="2" t="n"/>
      <c r="O136" s="55" t="n"/>
      <c r="P136" s="55" t="inlineStr">
        <is>
          <t>TRUE</t>
        </is>
      </c>
      <c r="Q136" s="55" t="inlineStr">
        <is>
          <t>ore</t>
        </is>
      </c>
      <c r="R136" s="2" t="inlineStr">
        <is>
          <t>260300</t>
        </is>
      </c>
      <c r="S136" s="55" t="inlineStr">
        <is>
          <t>operator</t>
        </is>
      </c>
      <c r="T136" s="2" t="n">
        <v>1</v>
      </c>
      <c r="U136" s="2" t="inlineStr">
        <is>
          <t>https://www.sec.gov/Archives/edgar/data/811809/000119312525185641/d941636d20f.htm</t>
        </is>
      </c>
      <c r="V136" s="2" t="inlineStr">
        <is>
          <t>BHP 2025 20-F OFR 6.1 Copper South Australia (p.23-24): Underground mining + surface grinding + concentrating. Cu concentrate with Au + Ag byproducts. Part of Copper SA. BHP 100%. PROMINENT HILL OPERATIONS EXPANSION (PHOX) PROJECT reached key milestone Q4 FY25 with completion of the WIRA SHAFT SINK. Project expected to extend mine life to at least 2040 and on track to come online second half FY2027. *** AI4 FY25: production BUNDLED INTO OLYMPIC DAM ROW (Copper SA aggregate 315.9 kt Cu). PHOX Wira Shaft sink completed Q4 FY25 — extends mine life to at least 2040, online second half FY2027. *** AI Sec 6 Copper Reserves (Prominent Hill &amp; Carrapateena combined, BHP 100%): 171 Mt @ 1.11% Cu + 0.55 g/t Au + 4 g/t Ag (26 Mt Proven + 145 Mt Probable). UNDERGROUND. Same pricing assumptions as Olympic Dam. PHOX Wira Shaft sink complete Q4 FY25 — extends mine life to ~2040.</t>
        </is>
      </c>
      <c r="W136" s="2" t="n"/>
      <c r="X136" s="2" t="inlineStr">
        <is>
          <t>underground</t>
        </is>
      </c>
      <c r="Y136" s="2" t="n"/>
      <c r="Z136" s="2" t="n"/>
      <c r="AA136" s="0" t="inlineStr">
        <is>
          <t>copper concentrate</t>
        </is>
      </c>
    </row>
    <row r="137" ht="15.75" customHeight="1" s="74">
      <c r="A137" s="2" t="inlineStr">
        <is>
          <t>BHP Group</t>
        </is>
      </c>
      <c r="B137" s="2" t="inlineStr">
        <is>
          <t>AU</t>
        </is>
      </c>
      <c r="C137" s="2" t="inlineStr">
        <is>
          <t>Oak Dam</t>
        </is>
      </c>
      <c r="D137" s="55" t="inlineStr">
        <is>
          <t>exploration_project</t>
        </is>
      </c>
      <c r="E137" s="2" t="inlineStr">
        <is>
          <t>AU</t>
        </is>
      </c>
      <c r="F137" s="2" t="inlineStr">
        <is>
          <t>South Australia</t>
        </is>
      </c>
      <c r="G137" s="2" t="n"/>
      <c r="H137" s="2" t="n"/>
      <c r="I137" s="2" t="n"/>
      <c r="J137" s="55" t="inlineStr">
        <is>
          <t>planned</t>
        </is>
      </c>
      <c r="K137" s="2" t="inlineStr">
        <is>
          <t>Copper</t>
        </is>
      </c>
      <c r="L137" s="2" t="n"/>
      <c r="M137" s="2" t="n"/>
      <c r="N137" s="2" t="n">
        <v>0</v>
      </c>
      <c r="O137" s="55" t="inlineStr">
        <is>
          <t>tonnes Cu</t>
        </is>
      </c>
      <c r="P137" s="55" t="inlineStr">
        <is>
          <t>TRUE</t>
        </is>
      </c>
      <c r="Q137" s="55" t="inlineStr">
        <is>
          <t>ore</t>
        </is>
      </c>
      <c r="R137" s="2" t="inlineStr">
        <is>
          <t>260300</t>
        </is>
      </c>
      <c r="S137" s="55" t="inlineStr">
        <is>
          <t>operator</t>
        </is>
      </c>
      <c r="T137" s="2" t="n">
        <v>1</v>
      </c>
      <c r="U137" s="2" t="inlineStr">
        <is>
          <t>https://www.sec.gov/Archives/edgar/data/811809/000119312525185641/d941636d20f.htm</t>
        </is>
      </c>
      <c r="V137" s="2" t="inlineStr">
        <is>
          <t>BHP 2025 20-F OFR 6.1 Copper South Australia (p.24): Greenfield COPPER + GOLD + SILVER + URANIUM deposit in close proximity to Carrapateena and Olympic Dam operations. Part of Gawler Craton. BHP 100%. FY25: Exploration activities advanced. OAK DAM RETENTION LEASE PROJECT INDIGENOUS LAND USE AGREEMENT signed with KOKATHA PEOPLE — enables commencement of twin underground access declines (see risk event Row 79). Government, heritage, and regulatory approvals ongoing. *** AI4 FY25: 0 production (exploration/development stage, not producing). *** AI Sec 6: Oak Dam is exploration/development — not itemized in reserves tables. Copper/gold/silver/uranium IOCG deposit, twin decline development pending completion of ILUA + government/heritage approvals. [stage normalized "exploration"-&gt;"ore" 2026-07-07: future ore output; project stage carried by status column] [status normalized "development"-&gt;"planned" 2026-07-07]</t>
        </is>
      </c>
      <c r="W137" s="2" t="n"/>
      <c r="X137" s="2" t="n"/>
      <c r="Y137" s="2" t="n"/>
      <c r="Z137" s="2" t="n"/>
      <c r="AA137" s="0" t="inlineStr">
        <is>
          <t>copper concentrate (planned)</t>
        </is>
      </c>
    </row>
    <row r="138" ht="15.75" customHeight="1" s="74">
      <c r="A138" s="2" t="inlineStr">
        <is>
          <t>BHP Group</t>
        </is>
      </c>
      <c r="B138" s="2" t="inlineStr">
        <is>
          <t>AU</t>
        </is>
      </c>
      <c r="C138" s="2" t="inlineStr">
        <is>
          <t>Antamina</t>
        </is>
      </c>
      <c r="D138" s="55" t="inlineStr">
        <is>
          <t>mine</t>
        </is>
      </c>
      <c r="E138" s="2" t="inlineStr">
        <is>
          <t>PE</t>
        </is>
      </c>
      <c r="F138" s="2" t="inlineStr">
        <is>
          <t>Ancash</t>
        </is>
      </c>
      <c r="G138" s="2" t="n"/>
      <c r="H138" s="2" t="n"/>
      <c r="I138" s="2" t="n"/>
      <c r="J138" s="55" t="inlineStr">
        <is>
          <t>operating</t>
        </is>
      </c>
      <c r="K138" s="2" t="inlineStr">
        <is>
          <t>Copper</t>
        </is>
      </c>
      <c r="L138" s="2" t="n"/>
      <c r="M138" s="2" t="n"/>
      <c r="N138" s="2" t="n">
        <v>118900</v>
      </c>
      <c r="O138" s="55" t="inlineStr">
        <is>
          <t>tonnes Cu</t>
        </is>
      </c>
      <c r="P138" s="55" t="inlineStr">
        <is>
          <t>TRUE</t>
        </is>
      </c>
      <c r="Q138" s="55" t="inlineStr">
        <is>
          <t>ore</t>
        </is>
      </c>
      <c r="R138" s="2" t="inlineStr">
        <is>
          <t>260300</t>
        </is>
      </c>
      <c r="S138" s="55" t="inlineStr">
        <is>
          <t>jv_partner</t>
        </is>
      </c>
      <c r="T138" s="2" t="n">
        <v>0.3375</v>
      </c>
      <c r="U138" s="2" t="inlineStr">
        <is>
          <t>https://www.sec.gov/Archives/edgar/data/811809/000119312525185641/d941636d20f.htm</t>
        </is>
      </c>
      <c r="V138" s="2" t="inlineStr">
        <is>
          <t>BHP 2025 20-F OFR 6.1 Antamina (p.24): Large, low-cost, open-cut Cu + Zn mine in north central Peru. Byproducts: molybdenum, silver. Independently operated by COMPAÑÍA MINERA ANTAMINA S.A. JV: BHP 33.75% + Glencore + Teck + Mitsubishi Corp. FY25 Cu production 119 kt (-17% YoY due to lower concentrator throughput + decline in feed grade). Zn production 109 kt (+5% YoY on higher zinc feed grade). FY26 guidance: Cu 120-140 kt, Zn 90-110 kt. *** AI4 FY25: 118.9 kt Cu concentrate (BHP 33.75% share, down from 143.9 kt FY24 = -17% YoY). Also 108,607 t zinc (BHP 33.75% share), 2,232 t lead, 4,162 troy koz silver, 2,279 t molybdenum. *** AI Sec 6 Copper Reserves (BHP 33.75% share): 178 Mt @ 0.92% Cu + 0.64% Zn + 12 g/t Ag + 230 ppm Mo (79 Mt Proven + 99 Mt Probable). OPEN CUT. Reserve pricing: Cu US$3.54/lb, Zn US$1.15/lb, Ag US$21.46/oz, Mo US$11.10/lb. [OWNERSHIP TYPE FIX 2026-07-10: was 'jv_partner_non_operator' (non-operator JV) - loader enum has no operator-distinction.]</t>
        </is>
      </c>
      <c r="W138" s="2" t="n"/>
      <c r="X138" s="2" t="inlineStr">
        <is>
          <t>open_pit</t>
        </is>
      </c>
      <c r="Y138" s="2" t="n"/>
      <c r="Z138" s="2" t="n"/>
      <c r="AA138" s="0" t="inlineStr">
        <is>
          <t>copper + zinc concentrate</t>
        </is>
      </c>
    </row>
    <row r="139" ht="15.75" customHeight="1" s="74">
      <c r="A139" s="2" t="inlineStr">
        <is>
          <t>BHP Group</t>
        </is>
      </c>
      <c r="B139" s="2" t="inlineStr">
        <is>
          <t>AU</t>
        </is>
      </c>
      <c r="C139" s="2" t="inlineStr">
        <is>
          <t>Resolution Copper</t>
        </is>
      </c>
      <c r="D139" s="55" t="inlineStr">
        <is>
          <t>exploration_project</t>
        </is>
      </c>
      <c r="E139" s="2" t="inlineStr">
        <is>
          <t>US</t>
        </is>
      </c>
      <c r="F139" s="2" t="inlineStr">
        <is>
          <t>Arizona</t>
        </is>
      </c>
      <c r="G139" s="2" t="n"/>
      <c r="H139" s="2" t="n"/>
      <c r="I139" s="2" t="n"/>
      <c r="J139" s="55" t="inlineStr">
        <is>
          <t>planned</t>
        </is>
      </c>
      <c r="K139" s="2" t="inlineStr">
        <is>
          <t>Copper</t>
        </is>
      </c>
      <c r="L139" s="2" t="n"/>
      <c r="M139" s="2" t="n"/>
      <c r="N139" s="2" t="n">
        <v>0</v>
      </c>
      <c r="O139" s="55" t="inlineStr">
        <is>
          <t>tonnes Cu</t>
        </is>
      </c>
      <c r="P139" s="55" t="inlineStr">
        <is>
          <t>TRUE</t>
        </is>
      </c>
      <c r="Q139" s="55" t="inlineStr">
        <is>
          <t>ore</t>
        </is>
      </c>
      <c r="R139" s="2" t="inlineStr">
        <is>
          <t>260300</t>
        </is>
      </c>
      <c r="S139" s="55" t="inlineStr">
        <is>
          <t>jv_partner</t>
        </is>
      </c>
      <c r="T139" s="2" t="n">
        <v>0.45</v>
      </c>
      <c r="U139" s="2" t="inlineStr">
        <is>
          <t>https://www.sec.gov/Archives/edgar/data/811809/000119312525185641/d941636d20f.htm</t>
        </is>
      </c>
      <c r="V139" s="2" t="inlineStr">
        <is>
          <t>BHP 2025 20-F OFR 6.1 Resolution Copper (p.24-25): "One of the largest undeveloped copper projects in the world" with potential to become "one of the largest copper producers in North America." Located in Arizona. JV: BHP 45%, RIO TINTO 55% (operator). June 2025: US Forest Service REPUBLISHED THE FINAL ENVIRONMENTAL IMPACT STATEMENT (FEIS), a prerequisite for the LAND EXCHANGE (LEX) with the US Government. FEIS and LEX REMAIN UNDER ONGOING LITIGATION (see risk event Row 77). FY25: engineering and permitting activities. Native American Tribes engagement ongoing. *** AI4 FY25: 0 production (undeveloped project — FEIS republished June 2025). *** AI Sec 6: Not in producer reserves tables (undeveloped, permitting stage). One of the largest undeveloped Cu projects globally. [stage normalized "exploration"-&gt;"ore" 2026-07-07: future ore output; project stage carried by status column] [status normalized "development"-&gt;"planned" 2026-07-07] [OWNERSHIP TYPE FIX 2026-07-10: was 'jv_partner_non_operator' (non-operator JV) - loader enum has no operator-distinction.]</t>
        </is>
      </c>
      <c r="W139" s="2" t="n"/>
      <c r="X139" s="2" t="inlineStr">
        <is>
          <t>underground</t>
        </is>
      </c>
      <c r="Y139" s="2" t="n"/>
      <c r="Z139" s="2" t="n"/>
      <c r="AA139" s="0" t="inlineStr">
        <is>
          <t>copper concentrate (planned)</t>
        </is>
      </c>
    </row>
    <row r="140" ht="15.75" customHeight="1" s="74">
      <c r="A140" s="2" t="inlineStr">
        <is>
          <t>BHP Group</t>
        </is>
      </c>
      <c r="B140" s="2" t="inlineStr">
        <is>
          <t>AU</t>
        </is>
      </c>
      <c r="C140" s="2" t="inlineStr">
        <is>
          <t>Josemaria</t>
        </is>
      </c>
      <c r="D140" s="55" t="inlineStr">
        <is>
          <t>exploration_project</t>
        </is>
      </c>
      <c r="E140" s="2" t="inlineStr">
        <is>
          <t>AR</t>
        </is>
      </c>
      <c r="F140" s="2" t="inlineStr">
        <is>
          <t>San Juan</t>
        </is>
      </c>
      <c r="G140" s="2" t="n"/>
      <c r="H140" s="2" t="n"/>
      <c r="I140" s="2" t="n"/>
      <c r="J140" s="55" t="inlineStr">
        <is>
          <t>planned</t>
        </is>
      </c>
      <c r="K140" s="2" t="inlineStr">
        <is>
          <t>Copper</t>
        </is>
      </c>
      <c r="L140" s="2" t="n"/>
      <c r="M140" s="2" t="n"/>
      <c r="N140" s="2" t="n">
        <v>0</v>
      </c>
      <c r="O140" s="55" t="inlineStr">
        <is>
          <t>tonnes Cu</t>
        </is>
      </c>
      <c r="P140" s="55" t="inlineStr">
        <is>
          <t>TRUE</t>
        </is>
      </c>
      <c r="Q140" s="55" t="inlineStr">
        <is>
          <t>ore</t>
        </is>
      </c>
      <c r="R140" s="2" t="inlineStr">
        <is>
          <t>260300</t>
        </is>
      </c>
      <c r="S140" s="55" t="inlineStr">
        <is>
          <t>jv_partner</t>
        </is>
      </c>
      <c r="T140" s="2" t="n">
        <v>0.5</v>
      </c>
      <c r="U140" s="2" t="inlineStr">
        <is>
          <t>https://www.sec.gov/Archives/edgar/data/811809/000119312525185641/d941636d20f.htm</t>
        </is>
      </c>
      <c r="V140" s="2" t="inlineStr">
        <is>
          <t>BHP 2025 20-F OFR 6.1 Vicuña (p.25): Copper deposit acquired FY25 via Vicuña Corp JV formation (see risk event Row 72). Located in San Juan Province, ARGENTINA. Previously 100% Lundin Mining. JV: BHP Canada 50% + Lundin Mining 50% (via VICUÑA CORP, Canadian-incorporated JV). Vicuña Corp is the independent operator. Vicuña has until July 2026 to submit RIGI (Inventive Regime for Large Investments) application. Integrated technical report expected Q1 CY2026. *** AI4 FY25: 0 production (exploration/development, technical report expected Q1 CY2026). *** AI Sec 6: New to BHP portfolio via Vicuña Corp JV formation FY25. Not in prior BHP reserves tables. Integrated technical report expected Q1 CY2026. [stage normalized "exploration"-&gt;"ore" 2026-07-07: future ore output; project stage carried by status column] [status normalized "development"-&gt;"planned" 2026-07-07] [OWNERSHIP TYPE FIX 2026-07-10: was 'jv_partner_non_operator' (non-operator JV) - loader enum has no operator-distinction.]</t>
        </is>
      </c>
      <c r="W140" s="2" t="n"/>
      <c r="X140" s="2" t="n"/>
      <c r="Y140" s="2" t="n"/>
      <c r="Z140" s="2" t="n"/>
      <c r="AA140" s="0" t="inlineStr">
        <is>
          <t>copper concentrate (planned)</t>
        </is>
      </c>
    </row>
    <row r="141" ht="15.75" customHeight="1" s="74">
      <c r="A141" s="2" t="inlineStr">
        <is>
          <t>BHP Group</t>
        </is>
      </c>
      <c r="B141" s="2" t="inlineStr">
        <is>
          <t>AU</t>
        </is>
      </c>
      <c r="C141" s="2" t="inlineStr">
        <is>
          <t>Filo del Sol</t>
        </is>
      </c>
      <c r="D141" s="55" t="inlineStr">
        <is>
          <t>exploration_project</t>
        </is>
      </c>
      <c r="E141" s="2" t="inlineStr">
        <is>
          <t>AR</t>
        </is>
      </c>
      <c r="F141" s="2" t="n"/>
      <c r="G141" s="2" t="n"/>
      <c r="H141" s="2" t="n"/>
      <c r="I141" s="2" t="n"/>
      <c r="J141" s="55" t="inlineStr">
        <is>
          <t>planned</t>
        </is>
      </c>
      <c r="K141" s="2" t="inlineStr">
        <is>
          <t>Copper</t>
        </is>
      </c>
      <c r="L141" s="2" t="n"/>
      <c r="M141" s="2" t="n"/>
      <c r="N141" s="2" t="n">
        <v>0</v>
      </c>
      <c r="O141" s="55" t="inlineStr">
        <is>
          <t>tonnes Cu</t>
        </is>
      </c>
      <c r="P141" s="55" t="inlineStr">
        <is>
          <t>TRUE</t>
        </is>
      </c>
      <c r="Q141" s="55" t="inlineStr">
        <is>
          <t>ore</t>
        </is>
      </c>
      <c r="R141" s="2" t="inlineStr">
        <is>
          <t>260300</t>
        </is>
      </c>
      <c r="S141" s="55" t="inlineStr">
        <is>
          <t>jv_partner</t>
        </is>
      </c>
      <c r="T141" s="2" t="n">
        <v>0.5</v>
      </c>
      <c r="U141" s="2" t="inlineStr">
        <is>
          <t>https://www.sec.gov/Archives/edgar/data/811809/000119312525185641/d941636d20f.htm</t>
        </is>
      </c>
      <c r="V141" s="2" t="inlineStr">
        <is>
          <t>BHP 2025 20-F OFR 6.1 Vicuña (p.25): Copper deposit acquired FY25 via Vicuña Corp JV formation (see risk event Row 72). Located along BORDER OF SAN JUAN PROVINCE, ARGENTINA AND ATACAMA REGION OF CHILE. Previously 100% Filo Corp (Toronto Stock Exchange). Acquired jointly by BHP and Lundin Mining. JV: BHP Canada 50% + Lundin Mining 50% (via VICUÑA CORP). Vicuña Corp is the independent operator. First year included in BHP Annual Report. *** AI4 FY25: 0 production (exploration/development, technical report expected Q1 CY2026). *** AI Sec 6: New to BHP portfolio via Vicuña Corp JV formation FY25. Not in prior BHP reserves tables. Integrated technical report expected Q1 CY2026. [stage normalized "exploration"-&gt;"ore" 2026-07-07: future ore output; project stage carried by status column] [status normalized "development"-&gt;"planned" 2026-07-07] [OWNERSHIP TYPE FIX 2026-07-10: was 'jv_partner_non_operator' (non-operator JV) - loader enum has no operator-distinction.]</t>
        </is>
      </c>
      <c r="W141" s="2" t="n"/>
      <c r="X141" s="2" t="n"/>
      <c r="Y141" s="2" t="n"/>
      <c r="Z141" s="2" t="n"/>
      <c r="AA141" s="0" t="inlineStr">
        <is>
          <t>copper concentrate (planned)</t>
        </is>
      </c>
    </row>
    <row r="142" ht="15.75" customHeight="1" s="74">
      <c r="A142" s="2" t="inlineStr">
        <is>
          <t>BHP Group</t>
        </is>
      </c>
      <c r="B142" s="2" t="inlineStr">
        <is>
          <t>AU</t>
        </is>
      </c>
      <c r="C142" s="2" t="inlineStr">
        <is>
          <t>Mt Newman Operations</t>
        </is>
      </c>
      <c r="D142" s="55" t="inlineStr">
        <is>
          <t>mine</t>
        </is>
      </c>
      <c r="E142" s="2" t="inlineStr">
        <is>
          <t>AU</t>
        </is>
      </c>
      <c r="F142" s="2" t="inlineStr">
        <is>
          <t>Western Australia</t>
        </is>
      </c>
      <c r="G142" s="2" t="n"/>
      <c r="H142" s="2" t="n"/>
      <c r="I142" s="2" t="n"/>
      <c r="J142" s="55" t="inlineStr">
        <is>
          <t>operating</t>
        </is>
      </c>
      <c r="K142" s="2" t="inlineStr">
        <is>
          <t>Iron Ore</t>
        </is>
      </c>
      <c r="L142" s="2" t="n">
        <v>75000000</v>
      </c>
      <c r="M142" s="2" t="inlineStr">
        <is>
          <t>t/yr</t>
        </is>
      </c>
      <c r="N142" s="2" t="n">
        <v>54218000</v>
      </c>
      <c r="O142" s="55" t="inlineStr">
        <is>
          <t>tonnes iron ore (wet)</t>
        </is>
      </c>
      <c r="P142" s="55" t="inlineStr">
        <is>
          <t>TRUE</t>
        </is>
      </c>
      <c r="Q142" s="55" t="inlineStr">
        <is>
          <t>ore</t>
        </is>
      </c>
      <c r="R142" s="2" t="inlineStr">
        <is>
          <t>260111</t>
        </is>
      </c>
      <c r="S142" s="55" t="inlineStr">
        <is>
          <t>jv_partner</t>
        </is>
      </c>
      <c r="T142" s="2" t="n">
        <v>0.85</v>
      </c>
      <c r="U142" s="2" t="inlineStr">
        <is>
          <t>https://www.sec.gov/Archives/edgar/data/811809/000119312525185641/d941636d20f.htm</t>
        </is>
      </c>
      <c r="V142" s="2" t="inlineStr">
        <is>
          <t>BHP 2025 20-F OFR 6.2 WAIO (p.25-26): WAIO processing hub. Includes BHP's beneficiation plant. Part of the four main WAIO JVs (Mt Newman JV, Yandi JV, Mt Goldsworthy JV, Jimblebar JV — Jimblebar is only incorporated). BHP OWNERSHIP: 85% (for the four main JVs). Pilbara region, northern Western Australia. WAIO delivered FY25 record production 257 Mt (BHP share) or 290 Mt (100% basis). *** AI4 FY25 Newman JV: 54,218 kt iron ore production (BHP 85% share, wet tonnes). Down from 58,102 kt FY24, up from 56,945 kt FY23. *** AI Sec 6 Iron Ore Reserves (WAIO Mt Newman JV, BHP 85%): 640 Mt @ 61.8% Fe (170 Mt Proven @ 63.0% + 470 Mt Probable @ 61.3%). Includes Mt Whaleback + Orebodies 24/25/29/30/31/32/35. Production began at Mt Whaleback 1969. Newman Hub train load out nominal capacity 75 Mtpa. Mineral lease under Iron Ore (Mount Newman) Agreement Act 1964 expires 2030 with successive 21-year renewal rights. Total WAIO reserves 3,520 Mt @ 61.3% Fe (-200 Mt YoY -5% due to depletion). WAIO total resources 13,660 Mt (-190 Mt YoY -1% depletion). [capacity detail: tonnes/year (Newman Hub train load out nominal)] [OWNERSHIP TYPE FIX 2026-07-10: was 'jv_partner_operator' (operator-side JV) - loader enum has no operator-distinction.]</t>
        </is>
      </c>
      <c r="W142" s="2" t="n"/>
      <c r="X142" s="2" t="n"/>
      <c r="Y142" s="2" t="n"/>
      <c r="Z142" s="2" t="n"/>
      <c r="AA142" s="0" t="inlineStr">
        <is>
          <t>iron ore fines + lump</t>
        </is>
      </c>
    </row>
    <row r="143" ht="15.75" customHeight="1" s="74">
      <c r="A143" s="2" t="inlineStr">
        <is>
          <t>BHP Group</t>
        </is>
      </c>
      <c r="B143" s="2" t="inlineStr">
        <is>
          <t>AU</t>
        </is>
      </c>
      <c r="C143" s="2" t="inlineStr">
        <is>
          <t>Yandi</t>
        </is>
      </c>
      <c r="D143" s="55" t="inlineStr">
        <is>
          <t>mine</t>
        </is>
      </c>
      <c r="E143" s="2" t="inlineStr">
        <is>
          <t>AU</t>
        </is>
      </c>
      <c r="F143" s="2" t="inlineStr">
        <is>
          <t>Western Australia</t>
        </is>
      </c>
      <c r="G143" s="2" t="n"/>
      <c r="H143" s="2" t="n"/>
      <c r="I143" s="2" t="n"/>
      <c r="J143" s="55" t="inlineStr">
        <is>
          <t>operating</t>
        </is>
      </c>
      <c r="K143" s="2" t="inlineStr">
        <is>
          <t>Iron Ore</t>
        </is>
      </c>
      <c r="L143" s="2" t="n"/>
      <c r="M143" s="2" t="n"/>
      <c r="N143" s="2" t="n">
        <v>15890000</v>
      </c>
      <c r="O143" s="55" t="inlineStr">
        <is>
          <t>tonnes iron ore (wet)</t>
        </is>
      </c>
      <c r="P143" s="55" t="inlineStr">
        <is>
          <t>TRUE</t>
        </is>
      </c>
      <c r="Q143" s="55" t="inlineStr">
        <is>
          <t>ore</t>
        </is>
      </c>
      <c r="R143" s="2" t="inlineStr">
        <is>
          <t>260111</t>
        </is>
      </c>
      <c r="S143" s="55" t="inlineStr">
        <is>
          <t>jv_partner</t>
        </is>
      </c>
      <c r="T143" s="2" t="n">
        <v>0.85</v>
      </c>
      <c r="U143" s="2" t="inlineStr">
        <is>
          <t>https://www.sec.gov/Archives/edgar/data/811809/000119312525185641/d941636d20f.htm</t>
        </is>
      </c>
      <c r="V143" s="2" t="inlineStr">
        <is>
          <t>BHP 2025 20-F OFR 6.2 WAIO (p.25-26): One of four processing hubs in the WAIO integrated system. Pilbara, WA. BHP 85% (Yandi JV — unincorporated). *** AI4 FY25 Yandi JV: 15,890 kt iron ore (BHP 85% share, wet tonnes). Down from 17,855 kt FY24 and 21,410 kt FY23 (Yandi is depleting). *** AI Sec 6: Reserves BUNDLED WITH GOLDSWORTHY JV LINE — Goldsworthy JV total 1,650 Mt @ 61.3% Fe (BHP 85% share). Yandi is depleting (FY25 -14% YoY per production tables). Yandi ore reserves are declining faster than other Pilbara hubs. [OWNERSHIP TYPE FIX 2026-07-10: was 'jv_partner_operator' (operator-side JV) - loader enum has no operator-distinction.]</t>
        </is>
      </c>
      <c r="W143" s="2" t="n"/>
      <c r="X143" s="2" t="inlineStr">
        <is>
          <t>open_pit</t>
        </is>
      </c>
      <c r="Y143" s="2" t="n"/>
      <c r="Z143" s="2" t="n"/>
      <c r="AA143" s="0" t="inlineStr">
        <is>
          <t>iron ore fines + lump</t>
        </is>
      </c>
    </row>
    <row r="144" ht="15.75" customHeight="1" s="74">
      <c r="A144" s="2" t="inlineStr">
        <is>
          <t>BHP Group</t>
        </is>
      </c>
      <c r="B144" s="2" t="inlineStr">
        <is>
          <t>AU</t>
        </is>
      </c>
      <c r="C144" s="2" t="inlineStr">
        <is>
          <t>Mining Area C</t>
        </is>
      </c>
      <c r="D144" s="55" t="inlineStr">
        <is>
          <t>mine</t>
        </is>
      </c>
      <c r="E144" s="2" t="inlineStr">
        <is>
          <t>AU</t>
        </is>
      </c>
      <c r="F144" s="2" t="inlineStr">
        <is>
          <t>Western Australia</t>
        </is>
      </c>
      <c r="G144" s="2" t="n"/>
      <c r="H144" s="2" t="n"/>
      <c r="I144" s="2" t="n"/>
      <c r="J144" s="55" t="inlineStr">
        <is>
          <t>operating</t>
        </is>
      </c>
      <c r="K144" s="2" t="inlineStr">
        <is>
          <t>Iron Ore</t>
        </is>
      </c>
      <c r="L144" s="2" t="n"/>
      <c r="M144" s="2" t="n"/>
      <c r="N144" s="2" t="n">
        <v>119110000</v>
      </c>
      <c r="O144" s="55" t="inlineStr">
        <is>
          <t>tonnes iron ore (wet)</t>
        </is>
      </c>
      <c r="P144" s="55" t="inlineStr">
        <is>
          <t>TRUE</t>
        </is>
      </c>
      <c r="Q144" s="55" t="inlineStr">
        <is>
          <t>ore</t>
        </is>
      </c>
      <c r="R144" s="2" t="inlineStr">
        <is>
          <t>260111</t>
        </is>
      </c>
      <c r="S144" s="55" t="inlineStr">
        <is>
          <t>jv_partner</t>
        </is>
      </c>
      <c r="T144" s="2" t="n">
        <v>0.85</v>
      </c>
      <c r="U144" s="2" t="inlineStr">
        <is>
          <t>https://www.sec.gov/Archives/edgar/data/811809/000119312525185641/d941636d20f.htm</t>
        </is>
      </c>
      <c r="V144" s="2" t="inlineStr">
        <is>
          <t>BHP 2025 20-F OFR 6.2 WAIO (p.25-26): WAIO's LARGEST OPERATING IRON ORE HUB, processing ore from Area C AND South Flank. Pilbara, WA. BHP 85%. FY25: record Ore for Rail volumes from the Central Pilbara Hub (South Flank + Mining Area C). *** AI4 FY25 Area C JV: 119,110 kt iron ore (BHP 85% share, wet tonnes) — INCLUDES SOUTH FLANK feed. Up from 105,868 kt FY24 (record) and 107,375 kt FY23. Central Pilbara Hub processing. *** AI Sec 6: Reserves BUNDLED WITH GOLDSWORTHY JV LINE — Goldsworthy JV total 1,650 Mt @ 61.3% Fe (BHP 85%). Central Pilbara Hub processes both Area C + South Flank. FY25 record 119.1 Mt production (BHP share). [OWNERSHIP TYPE FIX 2026-07-10: was 'jv_partner_operator' (operator-side JV) - loader enum has no operator-distinction.]</t>
        </is>
      </c>
      <c r="W144" s="2" t="n"/>
      <c r="X144" s="2" t="inlineStr">
        <is>
          <t>open_pit</t>
        </is>
      </c>
      <c r="Y144" s="2" t="n"/>
      <c r="Z144" s="2" t="n"/>
      <c r="AA144" s="0" t="inlineStr">
        <is>
          <t>iron ore fines + lump</t>
        </is>
      </c>
    </row>
    <row r="145" ht="15.75" customHeight="1" s="74">
      <c r="A145" s="2" t="inlineStr">
        <is>
          <t>BHP Group</t>
        </is>
      </c>
      <c r="B145" s="2" t="inlineStr">
        <is>
          <t>AU</t>
        </is>
      </c>
      <c r="C145" s="2" t="inlineStr">
        <is>
          <t>South Flank</t>
        </is>
      </c>
      <c r="D145" s="55" t="inlineStr">
        <is>
          <t>mine</t>
        </is>
      </c>
      <c r="E145" s="2" t="inlineStr">
        <is>
          <t>AU</t>
        </is>
      </c>
      <c r="F145" s="2" t="inlineStr">
        <is>
          <t>Western Australia</t>
        </is>
      </c>
      <c r="G145" s="2" t="n"/>
      <c r="H145" s="2" t="n"/>
      <c r="I145" s="2" t="n"/>
      <c r="J145" s="55" t="inlineStr">
        <is>
          <t>operating</t>
        </is>
      </c>
      <c r="K145" s="2" t="inlineStr">
        <is>
          <t>Iron Ore</t>
        </is>
      </c>
      <c r="L145" s="2" t="n">
        <v>80000000</v>
      </c>
      <c r="M145" s="2" t="inlineStr">
        <is>
          <t>t/yr</t>
        </is>
      </c>
      <c r="N145" s="2" t="n"/>
      <c r="O145" s="55" t="n"/>
      <c r="P145" s="55" t="inlineStr">
        <is>
          <t>TRUE</t>
        </is>
      </c>
      <c r="Q145" s="55" t="inlineStr">
        <is>
          <t>ore</t>
        </is>
      </c>
      <c r="R145" s="2" t="inlineStr">
        <is>
          <t>260111</t>
        </is>
      </c>
      <c r="S145" s="55" t="inlineStr">
        <is>
          <t>jv_partner</t>
        </is>
      </c>
      <c r="T145" s="2" t="n">
        <v>0.85</v>
      </c>
      <c r="U145" s="2" t="inlineStr">
        <is>
          <t>https://www.sec.gov/Archives/edgar/data/811809/000119312525185641/d941636d20f.htm</t>
        </is>
      </c>
      <c r="V145" s="2" t="inlineStr">
        <is>
          <t>BHP 2025 20-F OFR 6.2 WAIO (p.25-26): Pilbara, WA. Ore processed via the Mining Area C central hub. BHP 85%. FY25: EXCEEDED NAMEPLATE CAPACITY of 80 Mtpa (100% basis) in its FIRST YEAR following ramp up. *** AI4 FY25: production BUNDLED INTO MINING AREA C ROW (Area C JV aggregate 119.1 Mt BHP share). South Flank exceeded 80 Mtpa (100% basis) nameplate in first year of ramp-up FY25 per OFR 6.2. capacity_tpy=80M reflects nameplate; production not disaggregated by BHP. *** AI Sec 6: Reserves BUNDLED WITH GOLDSWORTHY JV LINE (1,650 Mt @ 61.3% Fe BHP 85% total). Delivered on time and on budget in FY2024; exceeded 80 Mtpa nameplate in first year FY25. [capacity detail: tonnes] [OWNERSHIP TYPE FIX 2026-07-10: was 'jv_partner_operator' (operator-side JV) - loader enum has no operator-distinction.]</t>
        </is>
      </c>
      <c r="W145" s="2" t="n">
        <v>2024</v>
      </c>
      <c r="X145" s="2" t="inlineStr">
        <is>
          <t>open_pit</t>
        </is>
      </c>
      <c r="Y145" s="2" t="n"/>
      <c r="Z145" s="2" t="n"/>
      <c r="AA145" s="0" t="inlineStr">
        <is>
          <t>iron ore fines</t>
        </is>
      </c>
    </row>
    <row r="146" ht="15.75" customHeight="1" s="74">
      <c r="A146" s="2" t="inlineStr">
        <is>
          <t>BHP Group</t>
        </is>
      </c>
      <c r="B146" s="2" t="inlineStr">
        <is>
          <t>AU</t>
        </is>
      </c>
      <c r="C146" s="2" t="inlineStr">
        <is>
          <t>Jimblebar</t>
        </is>
      </c>
      <c r="D146" s="55" t="inlineStr">
        <is>
          <t>mine</t>
        </is>
      </c>
      <c r="E146" s="2" t="inlineStr">
        <is>
          <t>AU</t>
        </is>
      </c>
      <c r="F146" s="2" t="inlineStr">
        <is>
          <t>Western Australia</t>
        </is>
      </c>
      <c r="G146" s="2" t="n"/>
      <c r="H146" s="2" t="n"/>
      <c r="I146" s="2" t="n"/>
      <c r="J146" s="55" t="inlineStr">
        <is>
          <t>operating</t>
        </is>
      </c>
      <c r="K146" s="2" t="inlineStr">
        <is>
          <t>Iron Ore</t>
        </is>
      </c>
      <c r="L146" s="2" t="n"/>
      <c r="M146" s="2" t="n"/>
      <c r="N146" s="2" t="n">
        <v>57274000</v>
      </c>
      <c r="O146" s="55" t="inlineStr">
        <is>
          <t>tonnes iron ore (wet, BHP 85% share)</t>
        </is>
      </c>
      <c r="P146" s="55" t="inlineStr">
        <is>
          <t>TRUE</t>
        </is>
      </c>
      <c r="Q146" s="55" t="inlineStr">
        <is>
          <t>ore</t>
        </is>
      </c>
      <c r="R146" s="2" t="inlineStr">
        <is>
          <t>260111</t>
        </is>
      </c>
      <c r="S146" s="55" t="inlineStr">
        <is>
          <t>jv_partner</t>
        </is>
      </c>
      <c r="T146" s="2" t="n">
        <v>0.85</v>
      </c>
      <c r="U146" s="2" t="inlineStr">
        <is>
          <t>https://www.sec.gov/Archives/edgar/data/811809/000119312525185641/d941636d20f.htm</t>
        </is>
      </c>
      <c r="V146" s="2" t="inlineStr">
        <is>
          <t>BHP 2025 20-F OFR 6.2 WAIO (p.25-26): One of four processing hubs. Pilbara, WA. BHP 85% (Jimblebar JV — the only incorporated of the four main WAIO JVs). *** AI4 FY25 Jimblebar JV: 67,381 kt iron ore ON 100% BASIS (BHP 85% share = 57,274 kt). Down from 73,111 kt FY24 (100%) but higher than 66,801 kt FY23 (100%). Jimblebar JV is the only INCORPORATED WAIO JV. *** AI Sec 6 Iron Ore Reserves (Jimblebar JV, BHP 85%): 1,230 Mt @ 61.0% Fe (660 Mt Proven + 570 Mt Probable). OPEN CUT. This is the only INCORPORATED WAIO JV. Presented on 100% basis in production tables (BHP effective share via distributions is 85%). [OWNERSHIP TYPE FIX 2026-07-10: was 'jv_partner_operator' (operator-side JV) - loader enum has no operator-distinction.]</t>
        </is>
      </c>
      <c r="W146" s="2" t="n"/>
      <c r="X146" s="2" t="inlineStr">
        <is>
          <t>open_pit</t>
        </is>
      </c>
      <c r="Y146" s="2" t="n"/>
      <c r="Z146" s="2" t="n"/>
      <c r="AA146" s="0" t="inlineStr">
        <is>
          <t>iron ore fines + lump</t>
        </is>
      </c>
    </row>
    <row r="147" ht="15.75" customHeight="1" s="74">
      <c r="A147" s="2" t="inlineStr">
        <is>
          <t>BHP Group</t>
        </is>
      </c>
      <c r="B147" s="2" t="inlineStr">
        <is>
          <t>AU</t>
        </is>
      </c>
      <c r="C147" s="2" t="inlineStr">
        <is>
          <t>Finucane Island Port</t>
        </is>
      </c>
      <c r="D147" s="55" t="inlineStr">
        <is>
          <t>port</t>
        </is>
      </c>
      <c r="E147" s="2" t="inlineStr">
        <is>
          <t>AU</t>
        </is>
      </c>
      <c r="F147" s="2" t="inlineStr">
        <is>
          <t>Western Australia</t>
        </is>
      </c>
      <c r="G147" s="2" t="inlineStr">
        <is>
          <t>Port Hedland</t>
        </is>
      </c>
      <c r="H147" s="2" t="n"/>
      <c r="I147" s="2" t="n"/>
      <c r="J147" s="55" t="inlineStr">
        <is>
          <t>operating</t>
        </is>
      </c>
      <c r="K147" s="2" t="inlineStr">
        <is>
          <t>Iron Ore</t>
        </is>
      </c>
      <c r="L147" s="2" t="n"/>
      <c r="M147" s="2" t="n"/>
      <c r="N147" s="2" t="n"/>
      <c r="O147" s="55" t="n"/>
      <c r="P147" s="55" t="inlineStr">
        <is>
          <t>TRUE</t>
        </is>
      </c>
      <c r="Q147" s="55" t="inlineStr">
        <is>
          <t>ore</t>
        </is>
      </c>
      <c r="R147" s="2" t="inlineStr">
        <is>
          <t>260111</t>
        </is>
      </c>
      <c r="S147" s="55" t="inlineStr">
        <is>
          <t>operator</t>
        </is>
      </c>
      <c r="T147" s="2" t="n">
        <v>1</v>
      </c>
      <c r="U147" s="2" t="inlineStr">
        <is>
          <t>https://www.sec.gov/Archives/edgar/data/811809/000119312525185641/d941636d20f.htm</t>
        </is>
      </c>
      <c r="V147" s="2" t="inlineStr">
        <is>
          <t>BHP 2025 20-F OFR 6.2 WAIO (p.25-26): Port facility at Port Hedland for iron ore export. Product transported along Port Hedland–Mt Newman rail line from the four processing hubs. August 2025: BHP approved commissioning of SIXTH CAR DUMPER (CD6) at Port Hedland — total investment ~US$0.9B (BHP share). See risk event Row 76. [stage normalized "logistics"-&gt;"ore" 2026-07-07: iron ore export port - logistics node, form of material handled; original value logistics]</t>
        </is>
      </c>
      <c r="W147" s="2" t="n"/>
      <c r="X147" s="2" t="n"/>
      <c r="Y147" s="2" t="n"/>
      <c r="Z147" s="2" t="n"/>
      <c r="AA147" s="0" t="inlineStr">
        <is>
          <t>iron ore fines + lump</t>
        </is>
      </c>
    </row>
    <row r="148" ht="15.75" customHeight="1" s="74">
      <c r="A148" s="2" t="inlineStr">
        <is>
          <t>BHP Group</t>
        </is>
      </c>
      <c r="B148" s="2" t="inlineStr">
        <is>
          <t>AU</t>
        </is>
      </c>
      <c r="C148" s="2" t="inlineStr">
        <is>
          <t>Nelson Point Port</t>
        </is>
      </c>
      <c r="D148" s="55" t="inlineStr">
        <is>
          <t>port</t>
        </is>
      </c>
      <c r="E148" s="2" t="inlineStr">
        <is>
          <t>AU</t>
        </is>
      </c>
      <c r="F148" s="2" t="inlineStr">
        <is>
          <t>Western Australia</t>
        </is>
      </c>
      <c r="G148" s="2" t="inlineStr">
        <is>
          <t>Port Hedland</t>
        </is>
      </c>
      <c r="H148" s="2" t="n"/>
      <c r="I148" s="2" t="n"/>
      <c r="J148" s="55" t="inlineStr">
        <is>
          <t>operating</t>
        </is>
      </c>
      <c r="K148" s="2" t="inlineStr">
        <is>
          <t>Iron Ore</t>
        </is>
      </c>
      <c r="L148" s="2" t="n"/>
      <c r="M148" s="2" t="n"/>
      <c r="N148" s="2" t="n"/>
      <c r="O148" s="55" t="n"/>
      <c r="P148" s="55" t="inlineStr">
        <is>
          <t>TRUE</t>
        </is>
      </c>
      <c r="Q148" s="55" t="inlineStr">
        <is>
          <t>ore</t>
        </is>
      </c>
      <c r="R148" s="2" t="inlineStr">
        <is>
          <t>260111</t>
        </is>
      </c>
      <c r="S148" s="55" t="inlineStr">
        <is>
          <t>operator</t>
        </is>
      </c>
      <c r="T148" s="2" t="n">
        <v>1</v>
      </c>
      <c r="U148" s="2" t="inlineStr">
        <is>
          <t>https://www.sec.gov/Archives/edgar/data/811809/000119312525185641/d941636d20f.htm</t>
        </is>
      </c>
      <c r="V148" s="2" t="inlineStr">
        <is>
          <t>BHP 2025 20-F OFR 6.2 WAIO (p.25-26): Port facility at Port Hedland for iron ore export, adjacent to Finucane Island. Product transported via Port Hedland–Mt Newman rail line. [stage normalized "logistics"-&gt;"ore" 2026-07-07: iron ore export port - logistics node; original value logistics]</t>
        </is>
      </c>
      <c r="W148" s="2" t="n"/>
      <c r="X148" s="2" t="n"/>
      <c r="Y148" s="2" t="n"/>
      <c r="Z148" s="2" t="n"/>
      <c r="AA148" s="0" t="inlineStr">
        <is>
          <t>iron ore fines + lump</t>
        </is>
      </c>
    </row>
    <row r="149" ht="15.75" customHeight="1" s="74">
      <c r="A149" s="2" t="inlineStr">
        <is>
          <t>BHP Group</t>
        </is>
      </c>
      <c r="B149" s="2" t="inlineStr">
        <is>
          <t>AU</t>
        </is>
      </c>
      <c r="C149" s="2" t="inlineStr">
        <is>
          <t>Nickel West</t>
        </is>
      </c>
      <c r="D149" s="55" t="inlineStr">
        <is>
          <t>mine</t>
        </is>
      </c>
      <c r="E149" s="2" t="inlineStr">
        <is>
          <t>AU</t>
        </is>
      </c>
      <c r="F149" s="2" t="inlineStr">
        <is>
          <t>Western Australia</t>
        </is>
      </c>
      <c r="G149" s="2" t="n"/>
      <c r="H149" s="2" t="n"/>
      <c r="I149" s="2" t="n"/>
      <c r="J149" s="55" t="inlineStr">
        <is>
          <t>care_maintenance</t>
        </is>
      </c>
      <c r="K149" s="2" t="inlineStr">
        <is>
          <t>Nickel</t>
        </is>
      </c>
      <c r="L149" s="2" t="n"/>
      <c r="M149" s="2" t="n"/>
      <c r="N149" s="2" t="n">
        <v>30200</v>
      </c>
      <c r="O149" s="55" t="inlineStr">
        <is>
          <t>tonnes Ni saleable</t>
        </is>
      </c>
      <c r="P149" s="55" t="inlineStr">
        <is>
          <t>TRUE</t>
        </is>
      </c>
      <c r="Q149" s="55" t="inlineStr">
        <is>
          <t>refined</t>
        </is>
      </c>
      <c r="R149" s="2" t="inlineStr">
        <is>
          <t>750210</t>
        </is>
      </c>
      <c r="S149" s="55" t="inlineStr">
        <is>
          <t>operator</t>
        </is>
      </c>
      <c r="T149" s="2" t="n">
        <v>1</v>
      </c>
      <c r="U149" s="2" t="inlineStr">
        <is>
          <t>https://www.sec.gov/Archives/edgar/data/811809/000119312525185641/d941636d20f.htm</t>
        </is>
      </c>
      <c r="V149" s="2" t="inlineStr">
        <is>
          <t>BHP 2025 20-F OFR 6.5 Western Australia Nickel (p.30-31): Complex asset comprising OPEN-CUT AND UNDERGROUND MINES, CONCENTRATORS, and a SMELTER AND REFINERY for downstream processing. Located in Agnew-Wiluna belt, WA (majority of tenements hosting Ni sulphide mineral resources). BHP 100%. KWINANA REFINERY specifically designed for BATTERY-GRADE NICKEL SULPHATE for EV cathodes — high battery-grade relevance. TRANSITIONED TO TEMPORARY SUSPENSION at end of H1 FY2025 (= end of December 2024). Decision announced 11 July 2024 citing global nickel oversupply (see risk event Row 68). FY25 production 30 kt Ni prior to suspension. BHP intends to REVIEW suspension by FEBRUARY 2027 (including assessing divestment). A$20M Community Fund established 2024 to support workforce/community during review process. *** AI4 FY25: 30.2 kt saleable Ni (BHP 100%, -63% YoY from 81.6 kt FY24 and 80.0 kt FY23). WAN ramped down and entered temporary suspension in December 2024. Also 450 t COBALT byproduct FY25 (734 t FY24, 752 t FY23). *** AI Sec 6: NO SEPARATE NICKEL RESERVES TABLE PUBLISHED for FY25 20-F. Nickel West operations transitioned to temporary suspension end December 2024. Reserves not disclosed in AI section 6 reserves tables. Prior years disclosed sulphide nickel reserves at Mt Keith + Leinster mines. Under 2027 divestment review. [stage normalized "refining"-&gt;"refined" 2026-07-07: Nickel West integrated to Kwinana refinery - Class 1 Ni metal (suspended)]</t>
        </is>
      </c>
      <c r="W149" s="2" t="n"/>
      <c r="X149" s="2" t="n"/>
      <c r="Y149" s="2" t="n"/>
      <c r="Z149" s="2" t="n"/>
      <c r="AA149" s="0" t="inlineStr">
        <is>
          <t>battery-grade nickel sulphate + Ni cathode</t>
        </is>
      </c>
    </row>
    <row r="150" ht="15.75" customHeight="1" s="74">
      <c r="A150" s="2" t="inlineStr">
        <is>
          <t>BHP Group</t>
        </is>
      </c>
      <c r="B150" s="2" t="inlineStr">
        <is>
          <t>AU</t>
        </is>
      </c>
      <c r="C150" s="2" t="inlineStr">
        <is>
          <t>West Musgrave Project</t>
        </is>
      </c>
      <c r="D150" s="55" t="inlineStr">
        <is>
          <t>exploration_project</t>
        </is>
      </c>
      <c r="E150" s="2" t="inlineStr">
        <is>
          <t>AU</t>
        </is>
      </c>
      <c r="F150" s="2" t="inlineStr">
        <is>
          <t>Western Australia</t>
        </is>
      </c>
      <c r="G150" s="2" t="n"/>
      <c r="H150" s="2" t="n"/>
      <c r="I150" s="2" t="n"/>
      <c r="J150" s="55" t="inlineStr">
        <is>
          <t>suspended</t>
        </is>
      </c>
      <c r="K150" s="2" t="inlineStr">
        <is>
          <t>Nickel</t>
        </is>
      </c>
      <c r="L150" s="2" t="n"/>
      <c r="M150" s="2" t="n"/>
      <c r="N150" s="2" t="n">
        <v>0</v>
      </c>
      <c r="O150" s="55" t="inlineStr">
        <is>
          <t>tonnes Ni</t>
        </is>
      </c>
      <c r="P150" s="55" t="inlineStr">
        <is>
          <t>TRUE</t>
        </is>
      </c>
      <c r="Q150" s="55" t="inlineStr">
        <is>
          <t>ore</t>
        </is>
      </c>
      <c r="R150" s="2" t="inlineStr">
        <is>
          <t>750210</t>
        </is>
      </c>
      <c r="S150" s="55" t="inlineStr">
        <is>
          <t>operator</t>
        </is>
      </c>
      <c r="T150" s="2" t="n">
        <v>1</v>
      </c>
      <c r="U150" s="2" t="inlineStr">
        <is>
          <t>https://www.sec.gov/Archives/edgar/data/811809/000119312525185641/d941636d20f.htm</t>
        </is>
      </c>
      <c r="V150" s="2" t="inlineStr">
        <is>
          <t>BHP 2025 20-F OFR 6.5 Western Australia Nickel (p.30-31): GREENFIELD NICKEL AND COPPER project located on NGAANYATJARRA COUNTRY in the West Musgrave Ranges, Western Australia. BHP 100%. PROJECT CONSTRUCTION TEMPORARILY SUSPENDED AT 30% COMPLETION as part of the broader WA Nickel suspension announced 11 July 2024 (see risk event Row 68). Review by February 2027. *** AI4 FY25: 0 production. Construction suspended at 30% completion following the July 2024 WA Nickel suspension announcement. *** AI Sec 6: NO SEPARATE RESERVES TABLE — construction suspended at 30% completion since Jul 2024 WA Nickel suspension. [status normalized "construction_suspended"-&gt;"suspended" 2026-07-07: construction suspended (BHP WA Nickel review); construction context preserved here]</t>
        </is>
      </c>
      <c r="W150" s="2" t="n"/>
      <c r="X150" s="2" t="inlineStr">
        <is>
          <t>open_pit</t>
        </is>
      </c>
      <c r="Y150" s="2" t="n"/>
      <c r="Z150" s="2" t="n"/>
      <c r="AA150" s="0" t="inlineStr">
        <is>
          <t>nickel + copper concentrate (planned)</t>
        </is>
      </c>
    </row>
    <row r="151" ht="15.75" customHeight="1" s="74">
      <c r="A151" s="2" t="inlineStr">
        <is>
          <t>BHP Group</t>
        </is>
      </c>
      <c r="B151" s="2" t="inlineStr">
        <is>
          <t>AU</t>
        </is>
      </c>
      <c r="C151" s="2" t="inlineStr">
        <is>
          <t>Kabanga Nickel Project</t>
        </is>
      </c>
      <c r="D151" s="55" t="inlineStr">
        <is>
          <t>exploration_project</t>
        </is>
      </c>
      <c r="E151" s="2" t="inlineStr">
        <is>
          <t>TZ</t>
        </is>
      </c>
      <c r="F151" s="2" t="n"/>
      <c r="G151" s="2" t="n"/>
      <c r="H151" s="2" t="n"/>
      <c r="I151" s="2" t="n"/>
      <c r="J151" s="55" t="inlineStr">
        <is>
          <t>operating</t>
        </is>
      </c>
      <c r="K151" s="2" t="inlineStr">
        <is>
          <t>Nickel</t>
        </is>
      </c>
      <c r="L151" s="2" t="n"/>
      <c r="M151" s="2" t="n"/>
      <c r="N151" s="2" t="n">
        <v>0</v>
      </c>
      <c r="O151" s="55" t="inlineStr">
        <is>
          <t>tonnes Ni</t>
        </is>
      </c>
      <c r="P151" s="55" t="inlineStr">
        <is>
          <t>TRUE</t>
        </is>
      </c>
      <c r="Q151" s="55" t="inlineStr">
        <is>
          <t>ore</t>
        </is>
      </c>
      <c r="R151" s="2" t="inlineStr">
        <is>
          <t>750210</t>
        </is>
      </c>
      <c r="S151" s="55" t="inlineStr">
        <is>
          <t>jv_partner</t>
        </is>
      </c>
      <c r="T151" s="2" t="n">
        <v>0</v>
      </c>
      <c r="U151" s="2" t="inlineStr">
        <is>
          <t>https://www.sec.gov/Archives/edgar/data/811809/000119312525185641/d941636d20f.htm</t>
        </is>
      </c>
      <c r="V151" s="2" t="inlineStr">
        <is>
          <t>BHP 2025 20-F OFR 6.5 Kabanga nickel project (p.31): Large-scale sulphide nickel project in TANZANIA. BHP OWNED 17% INTEREST in KABANGA NICKEL LIMITED (majority owner of Kabanga project). ON 18 JULY 2025, BHP EXITED its 17% interest (see risk event Row 73). Post-30-Jun-25 subsequent event NOT disclosed in Note 33 — disclosure gap. *** AI4 FY25: 0 production. Exploration project only. BHP exited 17% interest on 18 July 2025. *** AI Sec 6: NO SEPARATE RESERVES TABLE. BHP exited 17% interest 18 July 2025. [stage normalized "exploration"-&gt;"ore" 2026-07-07: future ore output; project stage carried by status column] [status "divested" ratified as new FacilityStatus enum value 2026-07-07: BHP exited Kabanga Jul 2025; facility continues under Lifezone - consider reassigning company link] [DIVESTED HANDLING 2026-07-10: status was 'divested' (not a loader enum) -&gt; operating w/ ownership_pct=0, zero attribution; facility presumably operating under new owner.] [OWNERSHIP TYPE FIX 2026-07-10: was 'jv_partner_non_operator' (non-operator JV) - loader enum has no operator-distinction.]</t>
        </is>
      </c>
      <c r="W151" s="2" t="n"/>
      <c r="X151" s="2" t="n"/>
      <c r="Y151" s="2" t="n"/>
      <c r="Z151" s="2" t="n"/>
      <c r="AA151" s="0" t="inlineStr">
        <is>
          <t>nickel concentrate (planned)</t>
        </is>
      </c>
    </row>
    <row r="152" ht="15.75" customHeight="1" s="74">
      <c r="A152" s="2" t="inlineStr">
        <is>
          <t>Rio Tinto plc</t>
        </is>
      </c>
      <c r="B152" s="2" t="inlineStr">
        <is>
          <t>GB</t>
        </is>
      </c>
      <c r="C152" s="2" t="inlineStr">
        <is>
          <t>Paraburdoo</t>
        </is>
      </c>
      <c r="D152" s="55" t="inlineStr">
        <is>
          <t>mine</t>
        </is>
      </c>
      <c r="E152" s="2" t="inlineStr">
        <is>
          <t>AU</t>
        </is>
      </c>
      <c r="F152" s="2" t="inlineStr">
        <is>
          <t>Western Australia</t>
        </is>
      </c>
      <c r="G152" s="2" t="inlineStr">
        <is>
          <t>Pilbara</t>
        </is>
      </c>
      <c r="H152" s="2" t="n"/>
      <c r="I152" s="2" t="n"/>
      <c r="J152" s="55" t="inlineStr">
        <is>
          <t>operating</t>
        </is>
      </c>
      <c r="K152" s="2" t="inlineStr">
        <is>
          <t>Iron Ore</t>
        </is>
      </c>
      <c r="L152" s="2" t="n"/>
      <c r="M152" s="2" t="n"/>
      <c r="N152" s="2" t="n"/>
      <c r="O152" s="55" t="n"/>
      <c r="P152" s="55" t="inlineStr">
        <is>
          <t>TRUE</t>
        </is>
      </c>
      <c r="Q152" s="55" t="inlineStr">
        <is>
          <t>ore</t>
        </is>
      </c>
      <c r="R152" s="2" t="inlineStr">
        <is>
          <t>260111</t>
        </is>
      </c>
      <c r="S152" s="55" t="inlineStr">
        <is>
          <t>jv_partner</t>
        </is>
      </c>
      <c r="T152" s="2" t="n">
        <v>1</v>
      </c>
      <c r="U152" s="2" t="inlineStr">
        <is>
          <t>https://www.sec.gov/Archives/edgar/data/863064/000162828026009531/rio-20251231.htm</t>
        </is>
      </c>
      <c r="V152" s="2" t="inlineStr">
        <is>
          <t>BHP-style — sorry, RT 20-F Item 4.D Hamersley Iron JV. Wholly-owned Rio Tinto operation per footnote 9: Hamersley Iron manages the operation and is obliged to purchase all mine production. Combined Hamersley mines FY25 production 229,605 kt. [OWNERSHIP TYPE FIX 2026-07-10: was 'jv_partner_operator' (operator-side JV) - loader enum has no operator-distinction.]</t>
        </is>
      </c>
      <c r="W152" s="2" t="n"/>
      <c r="X152" s="2" t="inlineStr">
        <is>
          <t>open_pit</t>
        </is>
      </c>
      <c r="Y152" s="2" t="n"/>
      <c r="Z152" s="2" t="n"/>
      <c r="AA152" s="0" t="inlineStr">
        <is>
          <t>iron ore fines + lump</t>
        </is>
      </c>
    </row>
    <row r="153" ht="15.75" customHeight="1" s="74">
      <c r="A153" s="2" t="inlineStr">
        <is>
          <t>Rio Tinto plc</t>
        </is>
      </c>
      <c r="B153" s="2" t="inlineStr">
        <is>
          <t>GB</t>
        </is>
      </c>
      <c r="C153" s="2" t="inlineStr">
        <is>
          <t>Mt Tom Price</t>
        </is>
      </c>
      <c r="D153" s="55" t="inlineStr">
        <is>
          <t>mine</t>
        </is>
      </c>
      <c r="E153" s="2" t="inlineStr">
        <is>
          <t>AU</t>
        </is>
      </c>
      <c r="F153" s="2" t="inlineStr">
        <is>
          <t>Western Australia</t>
        </is>
      </c>
      <c r="G153" s="2" t="inlineStr">
        <is>
          <t>Pilbara</t>
        </is>
      </c>
      <c r="H153" s="2" t="n"/>
      <c r="I153" s="2" t="n"/>
      <c r="J153" s="55" t="inlineStr">
        <is>
          <t>operating</t>
        </is>
      </c>
      <c r="K153" s="2" t="inlineStr">
        <is>
          <t>Iron Ore</t>
        </is>
      </c>
      <c r="L153" s="2" t="n"/>
      <c r="M153" s="2" t="n"/>
      <c r="N153" s="2" t="n"/>
      <c r="O153" s="55" t="n"/>
      <c r="P153" s="55" t="inlineStr">
        <is>
          <t>TRUE</t>
        </is>
      </c>
      <c r="Q153" s="55" t="inlineStr">
        <is>
          <t>ore</t>
        </is>
      </c>
      <c r="R153" s="2" t="inlineStr">
        <is>
          <t>260111</t>
        </is>
      </c>
      <c r="S153" s="55" t="inlineStr">
        <is>
          <t>jv_partner</t>
        </is>
      </c>
      <c r="T153" s="2" t="n">
        <v>1</v>
      </c>
      <c r="U153" s="2" t="inlineStr">
        <is>
          <t>https://www.sec.gov/Archives/edgar/data/863064/000162828026009531/rio-20251231.htm</t>
        </is>
      </c>
      <c r="V153" s="2" t="inlineStr">
        <is>
          <t>RT 20-F Item 4.D Hamersley Iron JV. Historic mine — one of Pilbara's founding operations. [OWNERSHIP TYPE FIX 2026-07-10: was 'jv_partner_operator' (operator-side JV) - loader enum has no operator-distinction.]</t>
        </is>
      </c>
      <c r="W153" s="2" t="n"/>
      <c r="X153" s="2" t="inlineStr">
        <is>
          <t>open_pit</t>
        </is>
      </c>
      <c r="Y153" s="2" t="n"/>
      <c r="Z153" s="2" t="n"/>
      <c r="AA153" s="0" t="inlineStr">
        <is>
          <t>iron ore fines + lump</t>
        </is>
      </c>
    </row>
    <row r="154" ht="15.75" customHeight="1" s="74">
      <c r="A154" s="2" t="inlineStr">
        <is>
          <t>Rio Tinto plc</t>
        </is>
      </c>
      <c r="B154" s="2" t="inlineStr">
        <is>
          <t>GB</t>
        </is>
      </c>
      <c r="C154" s="2" t="inlineStr">
        <is>
          <t>Western Turner Syncline</t>
        </is>
      </c>
      <c r="D154" s="55" t="inlineStr">
        <is>
          <t>mine</t>
        </is>
      </c>
      <c r="E154" s="2" t="inlineStr">
        <is>
          <t>AU</t>
        </is>
      </c>
      <c r="F154" s="2" t="inlineStr">
        <is>
          <t>Western Australia</t>
        </is>
      </c>
      <c r="G154" s="2" t="inlineStr">
        <is>
          <t>Pilbara</t>
        </is>
      </c>
      <c r="H154" s="2" t="n"/>
      <c r="I154" s="2" t="n"/>
      <c r="J154" s="55" t="inlineStr">
        <is>
          <t>operating</t>
        </is>
      </c>
      <c r="K154" s="2" t="inlineStr">
        <is>
          <t>Iron Ore</t>
        </is>
      </c>
      <c r="L154" s="2" t="n"/>
      <c r="M154" s="2" t="n"/>
      <c r="N154" s="2" t="n"/>
      <c r="O154" s="55" t="n"/>
      <c r="P154" s="55" t="inlineStr">
        <is>
          <t>TRUE</t>
        </is>
      </c>
      <c r="Q154" s="55" t="inlineStr">
        <is>
          <t>ore</t>
        </is>
      </c>
      <c r="R154" s="2" t="inlineStr">
        <is>
          <t>260111</t>
        </is>
      </c>
      <c r="S154" s="55" t="inlineStr">
        <is>
          <t>jv_partner</t>
        </is>
      </c>
      <c r="T154" s="2" t="n">
        <v>1</v>
      </c>
      <c r="U154" s="2" t="inlineStr">
        <is>
          <t>https://www.sec.gov/Archives/edgar/data/863064/000162828026009531/rio-20251231.htm</t>
        </is>
      </c>
      <c r="V154" s="2" t="inlineStr">
        <is>
          <t>RT 20-F Item 4.D Hamersley Iron JV. [OWNERSHIP TYPE FIX 2026-07-10: was 'jv_partner_operator' (operator-side JV) - loader enum has no operator-distinction.]</t>
        </is>
      </c>
      <c r="W154" s="2" t="n"/>
      <c r="X154" s="2" t="inlineStr">
        <is>
          <t>open_pit</t>
        </is>
      </c>
      <c r="Y154" s="2" t="n"/>
      <c r="Z154" s="2" t="n"/>
      <c r="AA154" s="0" t="inlineStr">
        <is>
          <t>iron ore fines + lump</t>
        </is>
      </c>
    </row>
    <row r="155" ht="15.75" customHeight="1" s="74">
      <c r="A155" s="2" t="inlineStr">
        <is>
          <t>Rio Tinto plc</t>
        </is>
      </c>
      <c r="B155" s="2" t="inlineStr">
        <is>
          <t>GB</t>
        </is>
      </c>
      <c r="C155" s="2" t="inlineStr">
        <is>
          <t>Marandoo</t>
        </is>
      </c>
      <c r="D155" s="55" t="inlineStr">
        <is>
          <t>mine</t>
        </is>
      </c>
      <c r="E155" s="2" t="inlineStr">
        <is>
          <t>AU</t>
        </is>
      </c>
      <c r="F155" s="2" t="inlineStr">
        <is>
          <t>Western Australia</t>
        </is>
      </c>
      <c r="G155" s="2" t="inlineStr">
        <is>
          <t>Pilbara</t>
        </is>
      </c>
      <c r="H155" s="2" t="n"/>
      <c r="I155" s="2" t="n"/>
      <c r="J155" s="55" t="inlineStr">
        <is>
          <t>operating</t>
        </is>
      </c>
      <c r="K155" s="2" t="inlineStr">
        <is>
          <t>Iron Ore</t>
        </is>
      </c>
      <c r="L155" s="2" t="n"/>
      <c r="M155" s="2" t="n"/>
      <c r="N155" s="2" t="n"/>
      <c r="O155" s="55" t="n"/>
      <c r="P155" s="55" t="inlineStr">
        <is>
          <t>TRUE</t>
        </is>
      </c>
      <c r="Q155" s="55" t="inlineStr">
        <is>
          <t>ore</t>
        </is>
      </c>
      <c r="R155" s="2" t="inlineStr">
        <is>
          <t>260111</t>
        </is>
      </c>
      <c r="S155" s="55" t="inlineStr">
        <is>
          <t>jv_partner</t>
        </is>
      </c>
      <c r="T155" s="2" t="n">
        <v>1</v>
      </c>
      <c r="U155" s="2" t="inlineStr">
        <is>
          <t>https://www.sec.gov/Archives/edgar/data/863064/000162828026009531/rio-20251231.htm</t>
        </is>
      </c>
      <c r="V155" s="2" t="inlineStr">
        <is>
          <t>RT 20-F Item 4.D Hamersley Iron JV. [OWNERSHIP TYPE FIX 2026-07-10: was 'jv_partner_operator' (operator-side JV) - loader enum has no operator-distinction.]</t>
        </is>
      </c>
      <c r="W155" s="2" t="n"/>
      <c r="X155" s="2" t="inlineStr">
        <is>
          <t>open_pit</t>
        </is>
      </c>
      <c r="Y155" s="2" t="n"/>
      <c r="Z155" s="2" t="n"/>
      <c r="AA155" s="0" t="inlineStr">
        <is>
          <t>iron ore fines + lump</t>
        </is>
      </c>
    </row>
    <row r="156" ht="15.75" customHeight="1" s="74">
      <c r="A156" s="2" t="inlineStr">
        <is>
          <t>Rio Tinto plc</t>
        </is>
      </c>
      <c r="B156" s="2" t="inlineStr">
        <is>
          <t>GB</t>
        </is>
      </c>
      <c r="C156" s="2" t="inlineStr">
        <is>
          <t>Yandicoogina</t>
        </is>
      </c>
      <c r="D156" s="55" t="inlineStr">
        <is>
          <t>mine</t>
        </is>
      </c>
      <c r="E156" s="2" t="inlineStr">
        <is>
          <t>AU</t>
        </is>
      </c>
      <c r="F156" s="2" t="inlineStr">
        <is>
          <t>Western Australia</t>
        </is>
      </c>
      <c r="G156" s="2" t="inlineStr">
        <is>
          <t>Pilbara</t>
        </is>
      </c>
      <c r="H156" s="2" t="n"/>
      <c r="I156" s="2" t="n"/>
      <c r="J156" s="55" t="inlineStr">
        <is>
          <t>operating</t>
        </is>
      </c>
      <c r="K156" s="2" t="inlineStr">
        <is>
          <t>Iron Ore</t>
        </is>
      </c>
      <c r="L156" s="2" t="n"/>
      <c r="M156" s="2" t="n"/>
      <c r="N156" s="2" t="n"/>
      <c r="O156" s="55" t="n"/>
      <c r="P156" s="55" t="inlineStr">
        <is>
          <t>TRUE</t>
        </is>
      </c>
      <c r="Q156" s="55" t="inlineStr">
        <is>
          <t>ore</t>
        </is>
      </c>
      <c r="R156" s="2" t="inlineStr">
        <is>
          <t>260111</t>
        </is>
      </c>
      <c r="S156" s="55" t="inlineStr">
        <is>
          <t>jv_partner</t>
        </is>
      </c>
      <c r="T156" s="2" t="n">
        <v>1</v>
      </c>
      <c r="U156" s="2" t="inlineStr">
        <is>
          <t>https://www.sec.gov/Archives/edgar/data/863064/000162828026009531/rio-20251231.htm</t>
        </is>
      </c>
      <c r="V156" s="2" t="inlineStr">
        <is>
          <t>RT 20-F Item 4.D Hamersley Iron JV. Marra Mamba ore type. [OWNERSHIP TYPE FIX 2026-07-10: was 'jv_partner_operator' (operator-side JV) - loader enum has no operator-distinction.]</t>
        </is>
      </c>
      <c r="W156" s="2" t="n"/>
      <c r="X156" s="2" t="inlineStr">
        <is>
          <t>open_pit</t>
        </is>
      </c>
      <c r="Y156" s="2" t="n"/>
      <c r="Z156" s="2" t="n"/>
      <c r="AA156" s="0" t="inlineStr">
        <is>
          <t>iron ore fines + lump</t>
        </is>
      </c>
    </row>
    <row r="157" ht="15.75" customHeight="1" s="74">
      <c r="A157" s="2" t="inlineStr">
        <is>
          <t>Rio Tinto plc</t>
        </is>
      </c>
      <c r="B157" s="2" t="inlineStr">
        <is>
          <t>GB</t>
        </is>
      </c>
      <c r="C157" s="2" t="inlineStr">
        <is>
          <t>Brockman</t>
        </is>
      </c>
      <c r="D157" s="55" t="inlineStr">
        <is>
          <t>mine</t>
        </is>
      </c>
      <c r="E157" s="2" t="inlineStr">
        <is>
          <t>AU</t>
        </is>
      </c>
      <c r="F157" s="2" t="inlineStr">
        <is>
          <t>Western Australia</t>
        </is>
      </c>
      <c r="G157" s="2" t="inlineStr">
        <is>
          <t>Pilbara</t>
        </is>
      </c>
      <c r="H157" s="2" t="n"/>
      <c r="I157" s="2" t="n"/>
      <c r="J157" s="55" t="inlineStr">
        <is>
          <t>operating</t>
        </is>
      </c>
      <c r="K157" s="2" t="inlineStr">
        <is>
          <t>Iron Ore</t>
        </is>
      </c>
      <c r="L157" s="2" t="n"/>
      <c r="M157" s="2" t="n"/>
      <c r="N157" s="2" t="n"/>
      <c r="O157" s="55" t="n"/>
      <c r="P157" s="55" t="inlineStr">
        <is>
          <t>TRUE</t>
        </is>
      </c>
      <c r="Q157" s="55" t="inlineStr">
        <is>
          <t>ore</t>
        </is>
      </c>
      <c r="R157" s="2" t="inlineStr">
        <is>
          <t>260111</t>
        </is>
      </c>
      <c r="S157" s="55" t="inlineStr">
        <is>
          <t>jv_partner</t>
        </is>
      </c>
      <c r="T157" s="2" t="n">
        <v>1</v>
      </c>
      <c r="U157" s="2" t="inlineStr">
        <is>
          <t>https://www.sec.gov/Archives/edgar/data/863064/000162828026009531/rio-20251231.htm</t>
        </is>
      </c>
      <c r="V157" s="2" t="inlineStr">
        <is>
          <t>RT 20-F Item 4.D Hamersley Iron JV. Brockman ore type. Includes Brockman Syncline 1 which received state + federal approvals FY25 (see risk event Row 103). [OWNERSHIP TYPE FIX 2026-07-10: was 'jv_partner_operator' (operator-side JV) - loader enum has no operator-distinction.]</t>
        </is>
      </c>
      <c r="W157" s="2" t="n"/>
      <c r="X157" s="2" t="inlineStr">
        <is>
          <t>open_pit</t>
        </is>
      </c>
      <c r="Y157" s="2" t="n"/>
      <c r="Z157" s="2" t="n"/>
      <c r="AA157" s="0" t="inlineStr">
        <is>
          <t>iron ore fines + lump</t>
        </is>
      </c>
    </row>
    <row r="158" ht="15.75" customHeight="1" s="74">
      <c r="A158" s="2" t="inlineStr">
        <is>
          <t>Rio Tinto plc</t>
        </is>
      </c>
      <c r="B158" s="2" t="inlineStr">
        <is>
          <t>GB</t>
        </is>
      </c>
      <c r="C158" s="2" t="inlineStr">
        <is>
          <t>Nammuldi</t>
        </is>
      </c>
      <c r="D158" s="55" t="inlineStr">
        <is>
          <t>mine</t>
        </is>
      </c>
      <c r="E158" s="2" t="inlineStr">
        <is>
          <t>AU</t>
        </is>
      </c>
      <c r="F158" s="2" t="inlineStr">
        <is>
          <t>Western Australia</t>
        </is>
      </c>
      <c r="G158" s="2" t="inlineStr">
        <is>
          <t>Pilbara</t>
        </is>
      </c>
      <c r="H158" s="2" t="n"/>
      <c r="I158" s="2" t="n"/>
      <c r="J158" s="55" t="inlineStr">
        <is>
          <t>operating</t>
        </is>
      </c>
      <c r="K158" s="2" t="inlineStr">
        <is>
          <t>Iron Ore</t>
        </is>
      </c>
      <c r="L158" s="2" t="n"/>
      <c r="M158" s="2" t="n"/>
      <c r="N158" s="2" t="n"/>
      <c r="O158" s="55" t="n"/>
      <c r="P158" s="55" t="inlineStr">
        <is>
          <t>TRUE</t>
        </is>
      </c>
      <c r="Q158" s="55" t="inlineStr">
        <is>
          <t>ore</t>
        </is>
      </c>
      <c r="R158" s="2" t="inlineStr">
        <is>
          <t>260111</t>
        </is>
      </c>
      <c r="S158" s="55" t="inlineStr">
        <is>
          <t>jv_partner</t>
        </is>
      </c>
      <c r="T158" s="2" t="n">
        <v>1</v>
      </c>
      <c r="U158" s="2" t="inlineStr">
        <is>
          <t>https://www.sec.gov/Archives/edgar/data/863064/000162828026009531/rio-20251231.htm</t>
        </is>
      </c>
      <c r="V158" s="2" t="inlineStr">
        <is>
          <t>RT 20-F Item 4.D Hamersley Iron JV. [OWNERSHIP TYPE FIX 2026-07-10: was 'jv_partner_operator' (operator-side JV) - loader enum has no operator-distinction.]</t>
        </is>
      </c>
      <c r="W158" s="2" t="n"/>
      <c r="X158" s="2" t="inlineStr">
        <is>
          <t>open_pit</t>
        </is>
      </c>
      <c r="Y158" s="2" t="n"/>
      <c r="Z158" s="2" t="n"/>
      <c r="AA158" s="0" t="inlineStr">
        <is>
          <t>iron ore fines + lump</t>
        </is>
      </c>
    </row>
    <row r="159" ht="15.75" customHeight="1" s="74">
      <c r="A159" s="2" t="inlineStr">
        <is>
          <t>Rio Tinto plc</t>
        </is>
      </c>
      <c r="B159" s="2" t="inlineStr">
        <is>
          <t>GB</t>
        </is>
      </c>
      <c r="C159" s="2" t="inlineStr">
        <is>
          <t>Silvergrass</t>
        </is>
      </c>
      <c r="D159" s="55" t="inlineStr">
        <is>
          <t>mine</t>
        </is>
      </c>
      <c r="E159" s="2" t="inlineStr">
        <is>
          <t>AU</t>
        </is>
      </c>
      <c r="F159" s="2" t="inlineStr">
        <is>
          <t>Western Australia</t>
        </is>
      </c>
      <c r="G159" s="2" t="inlineStr">
        <is>
          <t>Pilbara</t>
        </is>
      </c>
      <c r="H159" s="2" t="n"/>
      <c r="I159" s="2" t="n"/>
      <c r="J159" s="55" t="inlineStr">
        <is>
          <t>operating</t>
        </is>
      </c>
      <c r="K159" s="2" t="inlineStr">
        <is>
          <t>Iron Ore</t>
        </is>
      </c>
      <c r="L159" s="2" t="n"/>
      <c r="M159" s="2" t="n"/>
      <c r="N159" s="2" t="n"/>
      <c r="O159" s="55" t="n"/>
      <c r="P159" s="55" t="inlineStr">
        <is>
          <t>TRUE</t>
        </is>
      </c>
      <c r="Q159" s="55" t="inlineStr">
        <is>
          <t>ore</t>
        </is>
      </c>
      <c r="R159" s="2" t="inlineStr">
        <is>
          <t>260111</t>
        </is>
      </c>
      <c r="S159" s="55" t="inlineStr">
        <is>
          <t>jv_partner</t>
        </is>
      </c>
      <c r="T159" s="2" t="n">
        <v>1</v>
      </c>
      <c r="U159" s="2" t="inlineStr">
        <is>
          <t>https://www.sec.gov/Archives/edgar/data/863064/000162828026009531/rio-20251231.htm</t>
        </is>
      </c>
      <c r="V159" s="2" t="inlineStr">
        <is>
          <t>RT 20-F Item 4.D Hamersley Iron JV. [OWNERSHIP TYPE FIX 2026-07-10: was 'jv_partner_operator' (operator-side JV) - loader enum has no operator-distinction.]</t>
        </is>
      </c>
      <c r="W159" s="2" t="n"/>
      <c r="X159" s="2" t="inlineStr">
        <is>
          <t>open_pit</t>
        </is>
      </c>
      <c r="Y159" s="2" t="n"/>
      <c r="Z159" s="2" t="n"/>
      <c r="AA159" s="0" t="inlineStr">
        <is>
          <t>iron ore fines + lump</t>
        </is>
      </c>
    </row>
    <row r="160" ht="15.75" customHeight="1" s="74">
      <c r="A160" s="2" t="inlineStr">
        <is>
          <t>Rio Tinto plc</t>
        </is>
      </c>
      <c r="B160" s="2" t="inlineStr">
        <is>
          <t>GB</t>
        </is>
      </c>
      <c r="C160" s="2" t="inlineStr">
        <is>
          <t>Channar</t>
        </is>
      </c>
      <c r="D160" s="55" t="inlineStr">
        <is>
          <t>mine</t>
        </is>
      </c>
      <c r="E160" s="2" t="inlineStr">
        <is>
          <t>AU</t>
        </is>
      </c>
      <c r="F160" s="2" t="inlineStr">
        <is>
          <t>Western Australia</t>
        </is>
      </c>
      <c r="G160" s="2" t="inlineStr">
        <is>
          <t>Pilbara</t>
        </is>
      </c>
      <c r="H160" s="2" t="n"/>
      <c r="I160" s="2" t="n"/>
      <c r="J160" s="55" t="inlineStr">
        <is>
          <t>operating</t>
        </is>
      </c>
      <c r="K160" s="2" t="inlineStr">
        <is>
          <t>Iron Ore</t>
        </is>
      </c>
      <c r="L160" s="2" t="n"/>
      <c r="M160" s="2" t="n"/>
      <c r="N160" s="2" t="n"/>
      <c r="O160" s="55" t="n"/>
      <c r="P160" s="55" t="inlineStr">
        <is>
          <t>TRUE</t>
        </is>
      </c>
      <c r="Q160" s="55" t="inlineStr">
        <is>
          <t>ore</t>
        </is>
      </c>
      <c r="R160" s="2" t="inlineStr">
        <is>
          <t>260111</t>
        </is>
      </c>
      <c r="S160" s="55" t="inlineStr">
        <is>
          <t>jv_partner</t>
        </is>
      </c>
      <c r="T160" s="2" t="n">
        <v>1</v>
      </c>
      <c r="U160" s="2" t="inlineStr">
        <is>
          <t>https://www.sec.gov/Archives/edgar/data/863064/000162828026009531/rio-20251231.htm</t>
        </is>
      </c>
      <c r="V160" s="2" t="inlineStr">
        <is>
          <t>RT 20-F Item 4.D Hamersley Iron JV. [OWNERSHIP TYPE FIX 2026-07-10: was 'jv_partner_operator' (operator-side JV) - loader enum has no operator-distinction.]</t>
        </is>
      </c>
      <c r="W160" s="2" t="n"/>
      <c r="X160" s="2" t="inlineStr">
        <is>
          <t>open_pit</t>
        </is>
      </c>
      <c r="Y160" s="2" t="n"/>
      <c r="Z160" s="2" t="n"/>
      <c r="AA160" s="0" t="inlineStr">
        <is>
          <t>iron ore fines + lump</t>
        </is>
      </c>
    </row>
    <row r="161" ht="15.75" customHeight="1" s="74">
      <c r="A161" s="2" t="inlineStr">
        <is>
          <t>Rio Tinto plc</t>
        </is>
      </c>
      <c r="B161" s="2" t="inlineStr">
        <is>
          <t>GB</t>
        </is>
      </c>
      <c r="C161" s="2" t="inlineStr">
        <is>
          <t>Gudai-Darri</t>
        </is>
      </c>
      <c r="D161" s="55" t="inlineStr">
        <is>
          <t>mine</t>
        </is>
      </c>
      <c r="E161" s="2" t="inlineStr">
        <is>
          <t>AU</t>
        </is>
      </c>
      <c r="F161" s="2" t="inlineStr">
        <is>
          <t>Western Australia</t>
        </is>
      </c>
      <c r="G161" s="2" t="inlineStr">
        <is>
          <t>Pilbara</t>
        </is>
      </c>
      <c r="H161" s="2" t="n"/>
      <c r="I161" s="2" t="n"/>
      <c r="J161" s="55" t="inlineStr">
        <is>
          <t>operating</t>
        </is>
      </c>
      <c r="K161" s="2" t="inlineStr">
        <is>
          <t>Iron Ore</t>
        </is>
      </c>
      <c r="L161" s="2" t="n"/>
      <c r="M161" s="2" t="n"/>
      <c r="N161" s="2" t="n"/>
      <c r="O161" s="55" t="n"/>
      <c r="P161" s="55" t="inlineStr">
        <is>
          <t>TRUE</t>
        </is>
      </c>
      <c r="Q161" s="55" t="inlineStr">
        <is>
          <t>ore</t>
        </is>
      </c>
      <c r="R161" s="2" t="inlineStr">
        <is>
          <t>260111</t>
        </is>
      </c>
      <c r="S161" s="55" t="inlineStr">
        <is>
          <t>jv_partner</t>
        </is>
      </c>
      <c r="T161" s="2" t="n">
        <v>1</v>
      </c>
      <c r="U161" s="2" t="inlineStr">
        <is>
          <t>https://www.sec.gov/Archives/edgar/data/863064/000162828026009531/rio-20251231.htm</t>
        </is>
      </c>
      <c r="V161" s="2" t="inlineStr">
        <is>
          <t>RT 20-F Item 4.D Hamersley Iron JV. Rio Tinto's NEWEST large iron ore mine. FY25 set TWO CONSECUTIVE MONTHLY OUTPUT RECORDS (see risk event Row 105) under Safe Production System. [OWNERSHIP TYPE FIX 2026-07-10: was 'jv_partner_operator' (operator-side JV) - loader enum has no operator-distinction.]</t>
        </is>
      </c>
      <c r="W161" s="2" t="n">
        <v>2022</v>
      </c>
      <c r="X161" s="2" t="inlineStr">
        <is>
          <t>open_pit</t>
        </is>
      </c>
      <c r="Y161" s="2" t="n"/>
      <c r="Z161" s="2" t="n"/>
      <c r="AA161" s="0" t="inlineStr">
        <is>
          <t>iron ore fines + lump</t>
        </is>
      </c>
    </row>
    <row r="162" ht="15.75" customHeight="1" s="74">
      <c r="A162" s="2" t="inlineStr">
        <is>
          <t>Rio Tinto plc</t>
        </is>
      </c>
      <c r="B162" s="2" t="inlineStr">
        <is>
          <t>GB</t>
        </is>
      </c>
      <c r="C162" s="2" t="inlineStr">
        <is>
          <t>Eastern Range</t>
        </is>
      </c>
      <c r="D162" s="55" t="inlineStr">
        <is>
          <t>mine</t>
        </is>
      </c>
      <c r="E162" s="2" t="inlineStr">
        <is>
          <t>AU</t>
        </is>
      </c>
      <c r="F162" s="2" t="inlineStr">
        <is>
          <t>Western Australia</t>
        </is>
      </c>
      <c r="G162" s="2" t="inlineStr">
        <is>
          <t>Pilbara</t>
        </is>
      </c>
      <c r="H162" s="2" t="n"/>
      <c r="I162" s="2" t="n"/>
      <c r="J162" s="55" t="inlineStr">
        <is>
          <t>operating</t>
        </is>
      </c>
      <c r="K162" s="2" t="inlineStr">
        <is>
          <t>Iron Ore</t>
        </is>
      </c>
      <c r="L162" s="2" t="n"/>
      <c r="M162" s="2" t="n"/>
      <c r="N162" s="2" t="n"/>
      <c r="O162" s="55" t="n"/>
      <c r="P162" s="55" t="inlineStr">
        <is>
          <t>TRUE</t>
        </is>
      </c>
      <c r="Q162" s="55" t="inlineStr">
        <is>
          <t>ore</t>
        </is>
      </c>
      <c r="R162" s="2" t="inlineStr">
        <is>
          <t>260111</t>
        </is>
      </c>
      <c r="S162" s="55" t="inlineStr">
        <is>
          <t>jv_partner</t>
        </is>
      </c>
      <c r="T162" s="2" t="n">
        <v>0.54</v>
      </c>
      <c r="U162" s="2" t="inlineStr">
        <is>
          <t>https://www.sec.gov/Archives/edgar/data/863064/000162828026009531/rio-20251231.htm</t>
        </is>
      </c>
      <c r="V162" s="2" t="inlineStr">
        <is>
          <t>RT 20-F Item 4.D Hamersley Iron JV. RT owns 54% but per JV agreement, Hamersley Iron manages ops and buys all production (so effectively 100% attributable per footnote 9). [OWNERSHIP TYPE FIX 2026-07-10: was 'jv_partner_operator' (operator-side JV) - loader enum has no operator-distinction.]</t>
        </is>
      </c>
      <c r="W162" s="2" t="n"/>
      <c r="X162" s="2" t="inlineStr">
        <is>
          <t>open_pit</t>
        </is>
      </c>
      <c r="Y162" s="2" t="n"/>
      <c r="Z162" s="2" t="n"/>
      <c r="AA162" s="0" t="inlineStr">
        <is>
          <t>iron ore fines + lump</t>
        </is>
      </c>
    </row>
    <row r="163" ht="15.75" customHeight="1" s="74">
      <c r="A163" s="2" t="inlineStr">
        <is>
          <t>Rio Tinto plc</t>
        </is>
      </c>
      <c r="B163" s="2" t="inlineStr">
        <is>
          <t>GB</t>
        </is>
      </c>
      <c r="C163" s="2" t="inlineStr">
        <is>
          <t>Western Range</t>
        </is>
      </c>
      <c r="D163" s="55" t="inlineStr">
        <is>
          <t>mine</t>
        </is>
      </c>
      <c r="E163" s="2" t="inlineStr">
        <is>
          <t>AU</t>
        </is>
      </c>
      <c r="F163" s="2" t="inlineStr">
        <is>
          <t>Western Australia</t>
        </is>
      </c>
      <c r="G163" s="2" t="inlineStr">
        <is>
          <t>Pilbara</t>
        </is>
      </c>
      <c r="H163" s="2" t="n"/>
      <c r="I163" s="2" t="n"/>
      <c r="J163" s="55" t="inlineStr">
        <is>
          <t>operating</t>
        </is>
      </c>
      <c r="K163" s="2" t="inlineStr">
        <is>
          <t>Iron Ore</t>
        </is>
      </c>
      <c r="L163" s="2" t="n"/>
      <c r="M163" s="2" t="n"/>
      <c r="N163" s="2" t="n"/>
      <c r="O163" s="55" t="n"/>
      <c r="P163" s="55" t="inlineStr">
        <is>
          <t>TRUE</t>
        </is>
      </c>
      <c r="Q163" s="55" t="inlineStr">
        <is>
          <t>ore</t>
        </is>
      </c>
      <c r="R163" s="2" t="inlineStr">
        <is>
          <t>260111</t>
        </is>
      </c>
      <c r="S163" s="55" t="inlineStr">
        <is>
          <t>jv_partner</t>
        </is>
      </c>
      <c r="T163" s="2" t="n">
        <v>0.54</v>
      </c>
      <c r="U163" s="2" t="inlineStr">
        <is>
          <t>https://www.sec.gov/Archives/edgar/data/863064/000162828026009531/rio-20251231.htm</t>
        </is>
      </c>
      <c r="V163" s="2" t="inlineStr">
        <is>
          <t>RT 20-F Item 4.D Hamersley Iron JV. OPENED JUNE 2025 — delivered on time and on budget (see risk event Row 90). JV with China Baowu Group; developed with Yinhawangka People engagement. RT owns 54%; per JV, Hamersley Iron manages + buys all production. [OWNERSHIP TYPE FIX 2026-07-10: was 'jv_partner_operator' (operator-side JV) - loader enum has no operator-distinction.]</t>
        </is>
      </c>
      <c r="W163" s="2" t="n">
        <v>2025</v>
      </c>
      <c r="X163" s="2" t="inlineStr">
        <is>
          <t>open_pit</t>
        </is>
      </c>
      <c r="Y163" s="2" t="n"/>
      <c r="Z163" s="2" t="n"/>
      <c r="AA163" s="0" t="inlineStr">
        <is>
          <t>iron ore fines + lump</t>
        </is>
      </c>
    </row>
    <row r="164" ht="15.75" customHeight="1" s="74">
      <c r="A164" s="2" t="inlineStr">
        <is>
          <t>Rio Tinto plc</t>
        </is>
      </c>
      <c r="B164" s="2" t="inlineStr">
        <is>
          <t>GB</t>
        </is>
      </c>
      <c r="C164" s="2" t="inlineStr">
        <is>
          <t>Hope Downs</t>
        </is>
      </c>
      <c r="D164" s="55" t="inlineStr">
        <is>
          <t>mine</t>
        </is>
      </c>
      <c r="E164" s="2" t="inlineStr">
        <is>
          <t>AU</t>
        </is>
      </c>
      <c r="F164" s="2" t="inlineStr">
        <is>
          <t>Western Australia</t>
        </is>
      </c>
      <c r="G164" s="2" t="inlineStr">
        <is>
          <t>Pilbara</t>
        </is>
      </c>
      <c r="H164" s="2" t="n"/>
      <c r="I164" s="2" t="n"/>
      <c r="J164" s="55" t="inlineStr">
        <is>
          <t>operating</t>
        </is>
      </c>
      <c r="K164" s="2" t="inlineStr">
        <is>
          <t>Iron Ore</t>
        </is>
      </c>
      <c r="L164" s="2" t="n"/>
      <c r="M164" s="2" t="n"/>
      <c r="N164" s="2" t="n">
        <v>36751000</v>
      </c>
      <c r="O164" s="55" t="inlineStr">
        <is>
          <t>tonnes iron ore</t>
        </is>
      </c>
      <c r="P164" s="55" t="inlineStr">
        <is>
          <t>TRUE</t>
        </is>
      </c>
      <c r="Q164" s="55" t="inlineStr">
        <is>
          <t>ore</t>
        </is>
      </c>
      <c r="R164" s="2" t="inlineStr">
        <is>
          <t>260111</t>
        </is>
      </c>
      <c r="S164" s="55" t="inlineStr">
        <is>
          <t>jv_partner</t>
        </is>
      </c>
      <c r="T164" s="2" t="n">
        <v>0.5</v>
      </c>
      <c r="U164" s="2" t="inlineStr">
        <is>
          <t>https://www.sec.gov/Archives/edgar/data/863064/000162828026009531/rio-20251231.htm</t>
        </is>
      </c>
      <c r="V164" s="2" t="inlineStr">
        <is>
          <t>RT 20-F Item 4.D FY25: 36,751 kt total (RT share 18,375 kt at 50%). Down from 41,956 kt FY24. Hope Downs 2 received state + federal approvals FY25 (see risk event Row 103). [OWNERSHIP TYPE FIX 2026-07-10: was 'jv_partner_operator' (operator-side JV) - loader enum has no operator-distinction.]</t>
        </is>
      </c>
      <c r="W164" s="2" t="n"/>
      <c r="X164" s="2" t="inlineStr">
        <is>
          <t>open_pit</t>
        </is>
      </c>
      <c r="Y164" s="2" t="n"/>
      <c r="Z164" s="2" t="n"/>
      <c r="AA164" s="0" t="inlineStr">
        <is>
          <t>iron ore fines</t>
        </is>
      </c>
    </row>
    <row r="165" ht="15.75" customHeight="1" s="74">
      <c r="A165" s="2" t="inlineStr">
        <is>
          <t>Rio Tinto plc</t>
        </is>
      </c>
      <c r="B165" s="2" t="inlineStr">
        <is>
          <t>GB</t>
        </is>
      </c>
      <c r="C165" s="2" t="inlineStr">
        <is>
          <t>Iron Ore Company of Canada</t>
        </is>
      </c>
      <c r="D165" s="55" t="inlineStr">
        <is>
          <t>mine</t>
        </is>
      </c>
      <c r="E165" s="2" t="inlineStr">
        <is>
          <t>CA</t>
        </is>
      </c>
      <c r="F165" s="2" t="inlineStr">
        <is>
          <t>Newfoundland and Labrador</t>
        </is>
      </c>
      <c r="G165" s="2" t="inlineStr">
        <is>
          <t>Labrador</t>
        </is>
      </c>
      <c r="H165" s="2" t="n"/>
      <c r="I165" s="2" t="n"/>
      <c r="J165" s="55" t="inlineStr">
        <is>
          <t>operating</t>
        </is>
      </c>
      <c r="K165" s="2" t="inlineStr">
        <is>
          <t>Iron Ore</t>
        </is>
      </c>
      <c r="L165" s="2" t="n"/>
      <c r="M165" s="2" t="n"/>
      <c r="N165" s="2" t="n">
        <v>15905000</v>
      </c>
      <c r="O165" s="55" t="inlineStr">
        <is>
          <t>tonnes iron ore (pellets + concentrates)</t>
        </is>
      </c>
      <c r="P165" s="55" t="inlineStr">
        <is>
          <t>TRUE</t>
        </is>
      </c>
      <c r="Q165" s="55" t="inlineStr">
        <is>
          <t>concentrate</t>
        </is>
      </c>
      <c r="R165" s="2" t="inlineStr">
        <is>
          <t>260111</t>
        </is>
      </c>
      <c r="S165" s="55" t="inlineStr">
        <is>
          <t>jv_partner</t>
        </is>
      </c>
      <c r="T165" s="2" t="n">
        <v>0.587</v>
      </c>
      <c r="U165" s="2" t="inlineStr">
        <is>
          <t>https://www.sec.gov/Archives/edgar/data/863064/000162828026009531/rio-20251231.htm</t>
        </is>
      </c>
      <c r="V165" s="2" t="inlineStr">
        <is>
          <t>RT 20-F Item 4.D IOC FY25: 15,905 kt total (RT share 9,339 kt at 58.7%). Integrated pellet + concentrate operation in Labrador. Rio Tinto is largest partner (58.7%) with remaining held by Mitsubishi Corp + Labrador Iron Ore Royalty Corp. *** RT 20-F: IOC (RT 58.7%) is a Rio Tinto MATERIAL PROPERTY. Labrador Trough concentrator + pellet plant + rail infrastructure. Long-life reserves; competitive Fe content; northern latitude weather-resilient operation. [stage normalized "refining"-&gt;"concentrate" 2026-07-07: IOC sells iron ore concentrate + pellets] [OWNERSHIP TYPE FIX 2026-07-10: was 'jv_partner_operator' (operator-side JV) - loader enum has no operator-distinction.]</t>
        </is>
      </c>
      <c r="W165" s="2" t="n"/>
      <c r="X165" s="2" t="inlineStr">
        <is>
          <t>open_pit</t>
        </is>
      </c>
      <c r="Y165" s="2" t="n"/>
      <c r="Z165" s="2" t="n"/>
      <c r="AA165" s="0" t="inlineStr">
        <is>
          <t>iron ore pellets + concentrates</t>
        </is>
      </c>
    </row>
    <row r="166" ht="15.75" customHeight="1" s="74">
      <c r="A166" s="2" t="inlineStr">
        <is>
          <t>Rio Tinto plc</t>
        </is>
      </c>
      <c r="B166" s="2" t="inlineStr">
        <is>
          <t>GB</t>
        </is>
      </c>
      <c r="C166" s="2" t="inlineStr">
        <is>
          <t>Robe Valley</t>
        </is>
      </c>
      <c r="D166" s="55" t="inlineStr">
        <is>
          <t>mine</t>
        </is>
      </c>
      <c r="E166" s="2" t="inlineStr">
        <is>
          <t>AU</t>
        </is>
      </c>
      <c r="F166" s="2" t="inlineStr">
        <is>
          <t>Western Australia</t>
        </is>
      </c>
      <c r="G166" s="2" t="inlineStr">
        <is>
          <t>Pilbara</t>
        </is>
      </c>
      <c r="H166" s="2" t="n"/>
      <c r="I166" s="2" t="n"/>
      <c r="J166" s="55" t="inlineStr">
        <is>
          <t>operating</t>
        </is>
      </c>
      <c r="K166" s="2" t="inlineStr">
        <is>
          <t>Iron Ore</t>
        </is>
      </c>
      <c r="L166" s="2" t="n"/>
      <c r="M166" s="2" t="n"/>
      <c r="N166" s="2" t="n">
        <v>28610000</v>
      </c>
      <c r="O166" s="55" t="inlineStr">
        <is>
          <t>tonnes iron ore</t>
        </is>
      </c>
      <c r="P166" s="55" t="inlineStr">
        <is>
          <t>TRUE</t>
        </is>
      </c>
      <c r="Q166" s="55" t="inlineStr">
        <is>
          <t>ore</t>
        </is>
      </c>
      <c r="R166" s="2" t="inlineStr">
        <is>
          <t>260111</t>
        </is>
      </c>
      <c r="S166" s="55" t="inlineStr">
        <is>
          <t>jv_partner</t>
        </is>
      </c>
      <c r="T166" s="2" t="n">
        <v>0.53</v>
      </c>
      <c r="U166" s="2" t="inlineStr">
        <is>
          <t>https://www.sec.gov/Archives/edgar/data/863064/000162828026009531/rio-20251231.htm</t>
        </is>
      </c>
      <c r="V166" s="2" t="inlineStr">
        <is>
          <t>RT 20-F Item 4.D Robe River JV FY25: 28,610 kt total (RT share 15,163 kt at 53%). Robe Valley is one of two Robe River JV assets. [OWNERSHIP TYPE FIX 2026-07-10: was 'jv_partner_operator' (operator-side JV) - loader enum has no operator-distinction.]</t>
        </is>
      </c>
      <c r="W166" s="2" t="n"/>
      <c r="X166" s="2" t="inlineStr">
        <is>
          <t>open_pit</t>
        </is>
      </c>
      <c r="Y166" s="2" t="n"/>
      <c r="Z166" s="2" t="n"/>
      <c r="AA166" s="0" t="inlineStr">
        <is>
          <t>iron ore fines + lump</t>
        </is>
      </c>
    </row>
    <row r="167" ht="15.75" customHeight="1" s="74">
      <c r="A167" s="2" t="inlineStr">
        <is>
          <t>Rio Tinto plc</t>
        </is>
      </c>
      <c r="B167" s="2" t="inlineStr">
        <is>
          <t>GB</t>
        </is>
      </c>
      <c r="C167" s="2" t="inlineStr">
        <is>
          <t>West Angelas</t>
        </is>
      </c>
      <c r="D167" s="55" t="inlineStr">
        <is>
          <t>mine</t>
        </is>
      </c>
      <c r="E167" s="2" t="inlineStr">
        <is>
          <t>AU</t>
        </is>
      </c>
      <c r="F167" s="2" t="inlineStr">
        <is>
          <t>Western Australia</t>
        </is>
      </c>
      <c r="G167" s="2" t="inlineStr">
        <is>
          <t>Pilbara</t>
        </is>
      </c>
      <c r="H167" s="2" t="n"/>
      <c r="I167" s="2" t="n"/>
      <c r="J167" s="55" t="inlineStr">
        <is>
          <t>operating</t>
        </is>
      </c>
      <c r="K167" s="2" t="inlineStr">
        <is>
          <t>Iron Ore</t>
        </is>
      </c>
      <c r="L167" s="2" t="n"/>
      <c r="M167" s="2" t="n"/>
      <c r="N167" s="2" t="n">
        <v>32326000</v>
      </c>
      <c r="O167" s="55" t="inlineStr">
        <is>
          <t>tonnes iron ore</t>
        </is>
      </c>
      <c r="P167" s="55" t="inlineStr">
        <is>
          <t>TRUE</t>
        </is>
      </c>
      <c r="Q167" s="55" t="inlineStr">
        <is>
          <t>ore</t>
        </is>
      </c>
      <c r="R167" s="2" t="inlineStr">
        <is>
          <t>260111</t>
        </is>
      </c>
      <c r="S167" s="55" t="inlineStr">
        <is>
          <t>jv_partner</t>
        </is>
      </c>
      <c r="T167" s="2" t="n">
        <v>0.53</v>
      </c>
      <c r="U167" s="2" t="inlineStr">
        <is>
          <t>https://www.sec.gov/Archives/edgar/data/863064/000162828026009531/rio-20251231.htm</t>
        </is>
      </c>
      <c r="V167" s="2" t="inlineStr">
        <is>
          <t>RT 20-F Item 4.D Robe River JV FY25: 32,326 kt total (RT share 17,133 kt at 53%). West Angelas Sustaining projects received state + federal approvals FY25 (see risk event Row 103). [OWNERSHIP TYPE FIX 2026-07-10: was 'jv_partner_operator' (operator-side JV) - loader enum has no operator-distinction.]</t>
        </is>
      </c>
      <c r="W167" s="2" t="n"/>
      <c r="X167" s="2" t="inlineStr">
        <is>
          <t>open_pit</t>
        </is>
      </c>
      <c r="Y167" s="2" t="n"/>
      <c r="Z167" s="2" t="n"/>
      <c r="AA167" s="0" t="inlineStr">
        <is>
          <t>iron ore fines + lump</t>
        </is>
      </c>
    </row>
    <row r="168" ht="15.75" customHeight="1" s="74">
      <c r="A168" s="2" t="inlineStr">
        <is>
          <t>Rio Tinto plc</t>
        </is>
      </c>
      <c r="B168" s="2" t="inlineStr">
        <is>
          <t>GB</t>
        </is>
      </c>
      <c r="C168" s="2" t="inlineStr">
        <is>
          <t>Simandou</t>
        </is>
      </c>
      <c r="D168" s="55" t="inlineStr">
        <is>
          <t>mine</t>
        </is>
      </c>
      <c r="E168" s="2" t="inlineStr">
        <is>
          <t>GN</t>
        </is>
      </c>
      <c r="F168" s="2" t="inlineStr">
        <is>
          <t>Beyla</t>
        </is>
      </c>
      <c r="G168" s="2" t="inlineStr">
        <is>
          <t>Simandou range</t>
        </is>
      </c>
      <c r="H168" s="2" t="n"/>
      <c r="I168" s="2" t="n"/>
      <c r="J168" s="55" t="inlineStr">
        <is>
          <t>operating</t>
        </is>
      </c>
      <c r="K168" s="2" t="inlineStr">
        <is>
          <t>Iron Ore</t>
        </is>
      </c>
      <c r="L168" s="2" t="n"/>
      <c r="M168" s="2" t="n"/>
      <c r="N168" s="2" t="n">
        <v>2271000</v>
      </c>
      <c r="O168" s="55" t="inlineStr">
        <is>
          <t>tonnes crushed ore (wet metric tonnes)</t>
        </is>
      </c>
      <c r="P168" s="55" t="inlineStr">
        <is>
          <t>TRUE</t>
        </is>
      </c>
      <c r="Q168" s="55" t="inlineStr">
        <is>
          <t>ore</t>
        </is>
      </c>
      <c r="R168" s="2" t="inlineStr">
        <is>
          <t>260111</t>
        </is>
      </c>
      <c r="S168" s="55" t="inlineStr">
        <is>
          <t>jv_partner</t>
        </is>
      </c>
      <c r="T168" s="2" t="n">
        <v>0.45</v>
      </c>
      <c r="U168" s="2" t="inlineStr">
        <is>
          <t>https://www.sec.gov/Archives/edgar/data/863064/000162828026009531/rio-20251231.htm</t>
        </is>
      </c>
      <c r="V168" s="2" t="inlineStr">
        <is>
          <t>RT 20-F Item 4.D Simandou FY25: 2,271 kt crushed ore at mine gate. RT effective share 1,023 kt at 45% (via SimFer Jersey 53% × 85% SimFer mine ownership Blocks 3&amp;4). FIRST ORE Nov 2025 (ceremony) + FIRST SHIPMENT Dec 2025 (see Rows 87, 88). Achieved &lt;2 years after major construction began. PARTNERS: Government of Guinea + Chinalco + China Baowu + Winning Consortium Simandou. INFRASTRUCTURE: 600+ km multi-use trans-Guinean rail + barge + transhipment vessel port facilities. Final crushing initially undertaken in China. *** SAFETY: 3 FATALITIES at SimFer site over 18 months during construction — Morlaye Camara 2024 (Row 96), Mohamed Camara Aug 2025 (Row 97), unnamed teammate 14 Feb 2026 (Row 98). Pattern signal. *** LEGAL: 2011 contractual payments to consultant under ongoing Australian Federal Police investigation as of 31 Dec 2025 (see risk event Row 104). During build phase managed under Chief Safety &amp; Technical Officer, outside reportable segments until completion. *** RT 20-F: Simandou is a MATERIAL PROPERTY for SK-1300 purposes. TRS (technical report summary) filed. Extraction commenced FY25 (first ore Nov 2025, first shipment Dec 2025). Blocks 3&amp;4 host the SimFer mine. Rio Tinto effective share 45% (via SimFer Jersey 53% × 85% SimFer mine). Long-life Cretaceous BIF-hosted iron ore reserves; high-grade DSO product suited to low-carbon steel. Estimated GDP contribution to Guinea up to 55% by 2030 (Chair statement). [OWNERSHIP TYPE FIX 2026-07-10: was 'jv_partner_non_operator' (non-operator JV) - loader enum has no operator-distinction.]</t>
        </is>
      </c>
      <c r="W168" s="2" t="n">
        <v>2025</v>
      </c>
      <c r="X168" s="2" t="inlineStr">
        <is>
          <t>open_pit</t>
        </is>
      </c>
      <c r="Y168" s="2" t="n"/>
      <c r="Z168" s="2" t="n"/>
      <c r="AA168" s="0" t="inlineStr">
        <is>
          <t>iron ore fines</t>
        </is>
      </c>
    </row>
    <row r="169" ht="15.75" customHeight="1" s="74">
      <c r="A169" s="2" t="inlineStr">
        <is>
          <t>Rio Tinto plc</t>
        </is>
      </c>
      <c r="B169" s="2" t="inlineStr">
        <is>
          <t>GB</t>
        </is>
      </c>
      <c r="C169" s="2" t="inlineStr">
        <is>
          <t>Fenix</t>
        </is>
      </c>
      <c r="D169" s="55" t="inlineStr">
        <is>
          <t>mine</t>
        </is>
      </c>
      <c r="E169" s="2" t="inlineStr">
        <is>
          <t>AR</t>
        </is>
      </c>
      <c r="F169" s="2" t="inlineStr">
        <is>
          <t>Catamarca</t>
        </is>
      </c>
      <c r="G169" s="2" t="n"/>
      <c r="H169" s="2" t="n"/>
      <c r="I169" s="2" t="n"/>
      <c r="J169" s="55" t="inlineStr">
        <is>
          <t>operating</t>
        </is>
      </c>
      <c r="K169" s="2" t="inlineStr">
        <is>
          <t>Lithium</t>
        </is>
      </c>
      <c r="L169" s="2" t="n"/>
      <c r="M169" s="2" t="n"/>
      <c r="N169" s="2" t="n"/>
      <c r="O169" s="55" t="n"/>
      <c r="P169" s="55" t="inlineStr">
        <is>
          <t>TRUE</t>
        </is>
      </c>
      <c r="Q169" s="55" t="inlineStr">
        <is>
          <t>refined</t>
        </is>
      </c>
      <c r="R169" s="2" t="inlineStr">
        <is>
          <t>283691</t>
        </is>
      </c>
      <c r="S169" s="55" t="inlineStr">
        <is>
          <t>operator</t>
        </is>
      </c>
      <c r="T169" s="2" t="n">
        <v>1</v>
      </c>
      <c r="U169" s="2" t="inlineStr">
        <is>
          <t>https://www.sec.gov/Archives/edgar/data/863064/000162828026009531/rio-20251231.htm</t>
        </is>
      </c>
      <c r="V169" s="2" t="inlineStr">
        <is>
          <t>RT 20-F Item 4.D via Arcadium. Salar del Hombre Muerto (Argentina) brine lithium carbonate operation. Rio Tinto now 100% (via Arcadium). Historic Livent asset. FY25 Rio Tinto share included in Rio Tinto's total 46 kt LCE attributable. *** RT 20-F Item 1300 Lithium Brine Reserves (as at 31 Dec 2025, RT 100%): Anticipated brine 1,570 Mm3 @ 642 mg/L Li Extracted Grade; total 5.36 Mt LCE. RT share recoverable 4.11 Mt LCE. Includes Fenix specific: 430 Mm3 @ 505 mg/L Li Proven + 519 Mm3 @ 650 mg/L Li Probable Reserves. Material property. Historic Livent asset acquired via Arcadium March 2025. [stage normalized "refining"-&gt;"refined" 2026-07-07: Fenix produces lithium carbonate on-site (grade split battery/technical not disclosed)]</t>
        </is>
      </c>
      <c r="W169" s="2" t="n"/>
      <c r="X169" s="2" t="n"/>
      <c r="Y169" s="2" t="n"/>
      <c r="Z169" s="2" t="n"/>
      <c r="AA169" s="0" t="inlineStr">
        <is>
          <t>lithium carbonate</t>
        </is>
      </c>
    </row>
    <row r="170" ht="15.75" customHeight="1" s="74">
      <c r="A170" s="2" t="inlineStr">
        <is>
          <t>Rio Tinto plc</t>
        </is>
      </c>
      <c r="B170" s="2" t="inlineStr">
        <is>
          <t>GB</t>
        </is>
      </c>
      <c r="C170" s="2" t="inlineStr">
        <is>
          <t>Olaroz</t>
        </is>
      </c>
      <c r="D170" s="55" t="inlineStr">
        <is>
          <t>mine</t>
        </is>
      </c>
      <c r="E170" s="2" t="inlineStr">
        <is>
          <t>AR</t>
        </is>
      </c>
      <c r="F170" s="2" t="inlineStr">
        <is>
          <t>Jujuy</t>
        </is>
      </c>
      <c r="G170" s="2" t="n"/>
      <c r="H170" s="2" t="n"/>
      <c r="I170" s="2" t="n"/>
      <c r="J170" s="55" t="inlineStr">
        <is>
          <t>operating</t>
        </is>
      </c>
      <c r="K170" s="2" t="inlineStr">
        <is>
          <t>Lithium</t>
        </is>
      </c>
      <c r="L170" s="2" t="n"/>
      <c r="M170" s="2" t="n"/>
      <c r="N170" s="2" t="n"/>
      <c r="O170" s="55" t="n"/>
      <c r="P170" s="55" t="inlineStr">
        <is>
          <t>TRUE</t>
        </is>
      </c>
      <c r="Q170" s="55" t="inlineStr">
        <is>
          <t>refined</t>
        </is>
      </c>
      <c r="R170" s="2" t="inlineStr">
        <is>
          <t>283691</t>
        </is>
      </c>
      <c r="S170" s="55" t="inlineStr">
        <is>
          <t>jv_partner</t>
        </is>
      </c>
      <c r="T170" s="2" t="n">
        <v>0.665</v>
      </c>
      <c r="U170" s="2" t="inlineStr">
        <is>
          <t>https://www.sec.gov/Archives/edgar/data/863064/000162828026009531/rio-20251231.htm</t>
        </is>
      </c>
      <c r="V170" s="2" t="inlineStr">
        <is>
          <t>RT 20-F Item 4.D via Arcadium. Salar de Olaroz brine lithium carbonate operation (Argentina). Rio Tinto 66.5% ownership (via Arcadium). Historic Allkem asset. JV with Toyota Tsusho + JEMSE (Jujuy state). *** RT 20-F Item 1300 Lithium Brine Reserves (RT 66.5% via Arcadium): Salar de Olaroz reserves reported jointly with Fenix. Rio Tinto share 1.08 Mt LCE recoverable at ~90% mill recovery. Historic Allkem asset. Argentina Andes altiplano brine operation. [stage normalized "refining"-&gt;"refined" 2026-07-07: Olaroz produces lithium carbonate (mostly technical grade)] [OWNERSHIP TYPE FIX 2026-07-10: was 'jv_partner_operator' (operator-side JV) - loader enum has no operator-distinction.]</t>
        </is>
      </c>
      <c r="W170" s="2" t="n"/>
      <c r="X170" s="2" t="n"/>
      <c r="Y170" s="2" t="n"/>
      <c r="Z170" s="2" t="n"/>
      <c r="AA170" s="0" t="inlineStr">
        <is>
          <t>lithium carbonate</t>
        </is>
      </c>
    </row>
    <row r="171" ht="15.75" customHeight="1" s="74">
      <c r="A171" s="2" t="inlineStr">
        <is>
          <t>Rio Tinto plc</t>
        </is>
      </c>
      <c r="B171" s="2" t="inlineStr">
        <is>
          <t>GB</t>
        </is>
      </c>
      <c r="C171" s="2" t="inlineStr">
        <is>
          <t>Sal de Vida</t>
        </is>
      </c>
      <c r="D171" s="55" t="inlineStr">
        <is>
          <t>exploration_project</t>
        </is>
      </c>
      <c r="E171" s="2" t="inlineStr">
        <is>
          <t>AR</t>
        </is>
      </c>
      <c r="F171" s="2" t="inlineStr">
        <is>
          <t>Catamarca</t>
        </is>
      </c>
      <c r="G171" s="2" t="n"/>
      <c r="H171" s="2" t="n"/>
      <c r="I171" s="2" t="n"/>
      <c r="J171" s="55" t="inlineStr">
        <is>
          <t>planned</t>
        </is>
      </c>
      <c r="K171" s="2" t="inlineStr">
        <is>
          <t>Lithium</t>
        </is>
      </c>
      <c r="L171" s="2" t="n"/>
      <c r="M171" s="2" t="n"/>
      <c r="N171" s="2" t="n"/>
      <c r="O171" s="55" t="n"/>
      <c r="P171" s="55" t="inlineStr">
        <is>
          <t>TRUE</t>
        </is>
      </c>
      <c r="Q171" s="55" t="inlineStr">
        <is>
          <t>ore</t>
        </is>
      </c>
      <c r="R171" s="2" t="inlineStr">
        <is>
          <t>283691</t>
        </is>
      </c>
      <c r="S171" s="55" t="inlineStr">
        <is>
          <t>operator</t>
        </is>
      </c>
      <c r="T171" s="2" t="n">
        <v>1</v>
      </c>
      <c r="U171" s="2" t="inlineStr">
        <is>
          <t>https://www.sec.gov/Archives/edgar/data/863064/000162828026009531/rio-20251231.htm</t>
        </is>
      </c>
      <c r="V171" s="2" t="inlineStr">
        <is>
          <t>RT 20-F Item 4.D via Arcadium. Salar del Hombre Muerto lithium brine DEVELOPMENT project. Not yet producing. Rio Tinto 100% via Arcadium. Original Allkem-Livent merger asset. [stage normalized "exploration"-&gt;"ore" 2026-07-07: future ore output; project stage carried by status column] [status normalized "development"-&gt;"planned" 2026-07-07]</t>
        </is>
      </c>
      <c r="W171" s="2" t="n"/>
      <c r="X171" s="2" t="n"/>
      <c r="Y171" s="2" t="n"/>
      <c r="Z171" s="2" t="n"/>
      <c r="AA171" s="0" t="inlineStr">
        <is>
          <t>lithium carbonate (planned)</t>
        </is>
      </c>
    </row>
    <row r="172" ht="15.75" customHeight="1" s="74">
      <c r="A172" s="2" t="inlineStr">
        <is>
          <t>Rio Tinto plc</t>
        </is>
      </c>
      <c r="B172" s="2" t="inlineStr">
        <is>
          <t>GB</t>
        </is>
      </c>
      <c r="C172" s="2" t="inlineStr">
        <is>
          <t>Mt Cattlin</t>
        </is>
      </c>
      <c r="D172" s="55" t="inlineStr">
        <is>
          <t>mine</t>
        </is>
      </c>
      <c r="E172" s="2" t="inlineStr">
        <is>
          <t>AU</t>
        </is>
      </c>
      <c r="F172" s="2" t="inlineStr">
        <is>
          <t>Western Australia</t>
        </is>
      </c>
      <c r="G172" s="2" t="n"/>
      <c r="H172" s="2" t="n"/>
      <c r="I172" s="2" t="n"/>
      <c r="J172" s="55" t="inlineStr">
        <is>
          <t>operating</t>
        </is>
      </c>
      <c r="K172" s="2" t="inlineStr">
        <is>
          <t>Lithium</t>
        </is>
      </c>
      <c r="L172" s="2" t="n"/>
      <c r="M172" s="2" t="n"/>
      <c r="N172" s="2" t="n"/>
      <c r="O172" s="55" t="n"/>
      <c r="P172" s="55" t="inlineStr">
        <is>
          <t>TRUE</t>
        </is>
      </c>
      <c r="Q172" s="55" t="inlineStr">
        <is>
          <t>ore</t>
        </is>
      </c>
      <c r="R172" s="2" t="inlineStr">
        <is>
          <t>253090</t>
        </is>
      </c>
      <c r="S172" s="55" t="inlineStr">
        <is>
          <t>operator</t>
        </is>
      </c>
      <c r="T172" s="2" t="n">
        <v>1</v>
      </c>
      <c r="U172" s="2" t="inlineStr">
        <is>
          <t>https://www.sec.gov/Archives/edgar/data/863064/000162828026009531/rio-20251231.htm</t>
        </is>
      </c>
      <c r="V172" s="2" t="inlineStr">
        <is>
          <t>RT 20-F Item 4.D via Arcadium (originally Allkem). Ravensthorpe WA hard-rock spodumene operation. Rio Tinto 100% via Arcadium.</t>
        </is>
      </c>
      <c r="W172" s="2" t="n"/>
      <c r="X172" s="2" t="inlineStr">
        <is>
          <t>open_pit</t>
        </is>
      </c>
      <c r="Y172" s="2" t="n"/>
      <c r="Z172" s="2" t="n"/>
      <c r="AA172" s="0" t="inlineStr">
        <is>
          <t>lithium spodumene concentrate</t>
        </is>
      </c>
    </row>
    <row r="173" ht="15.75" customHeight="1" s="74">
      <c r="A173" s="2" t="inlineStr">
        <is>
          <t>Rio Tinto plc</t>
        </is>
      </c>
      <c r="B173" s="2" t="inlineStr">
        <is>
          <t>GB</t>
        </is>
      </c>
      <c r="C173" s="2" t="inlineStr">
        <is>
          <t>Bessemer City</t>
        </is>
      </c>
      <c r="D173" s="55" t="inlineStr">
        <is>
          <t>processing</t>
        </is>
      </c>
      <c r="E173" s="2" t="inlineStr">
        <is>
          <t>US</t>
        </is>
      </c>
      <c r="F173" s="2" t="inlineStr">
        <is>
          <t>North Carolina</t>
        </is>
      </c>
      <c r="G173" s="2" t="n"/>
      <c r="H173" s="2" t="n"/>
      <c r="I173" s="2" t="n"/>
      <c r="J173" s="55" t="inlineStr">
        <is>
          <t>operating</t>
        </is>
      </c>
      <c r="K173" s="2" t="inlineStr">
        <is>
          <t>Lithium</t>
        </is>
      </c>
      <c r="L173" s="2" t="n"/>
      <c r="M173" s="2" t="n"/>
      <c r="N173" s="2" t="n"/>
      <c r="O173" s="55" t="n"/>
      <c r="P173" s="55" t="inlineStr">
        <is>
          <t>TRUE</t>
        </is>
      </c>
      <c r="Q173" s="55" t="inlineStr">
        <is>
          <t>battery_grade</t>
        </is>
      </c>
      <c r="R173" s="2" t="inlineStr">
        <is>
          <t>283691</t>
        </is>
      </c>
      <c r="S173" s="55" t="inlineStr">
        <is>
          <t>operator</t>
        </is>
      </c>
      <c r="T173" s="2" t="n">
        <v>1</v>
      </c>
      <c r="U173" s="2" t="inlineStr">
        <is>
          <t>https://www.sec.gov/Archives/edgar/data/863064/000162828026009531/rio-20251231.htm</t>
        </is>
      </c>
      <c r="V173" s="2" t="inlineStr">
        <is>
          <t>RT 20-F Item 4.D via Arcadium (originally Livent). North Carolina battery-grade lithium hydroxide facility. Rio Tinto 100% via Arcadium. FY25 Rio Tinto hydroxide production 21 kt (100%). [stage normalized "refining"-&gt;"battery_grade" 2026-07-07: Bessemer City produces battery-grade LiOH/specialties] [facility_type normalized "processing_plant"-&gt;"processing" 2026-07-07 per extended FacilityType enum]</t>
        </is>
      </c>
      <c r="W173" s="2" t="n"/>
      <c r="X173" s="2" t="n"/>
      <c r="Y173" s="2" t="n"/>
      <c r="Z173" s="2" t="n"/>
      <c r="AA173" s="0" t="inlineStr">
        <is>
          <t>battery-grade lithium hydroxide</t>
        </is>
      </c>
    </row>
    <row r="174" ht="15.75" customHeight="1" s="74">
      <c r="A174" s="2" t="inlineStr">
        <is>
          <t>Rio Tinto plc</t>
        </is>
      </c>
      <c r="B174" s="2" t="inlineStr">
        <is>
          <t>GB</t>
        </is>
      </c>
      <c r="C174" s="2" t="inlineStr">
        <is>
          <t>James Bay</t>
        </is>
      </c>
      <c r="D174" s="55" t="inlineStr">
        <is>
          <t>exploration_project</t>
        </is>
      </c>
      <c r="E174" s="2" t="inlineStr">
        <is>
          <t>CA</t>
        </is>
      </c>
      <c r="F174" s="2" t="inlineStr">
        <is>
          <t>Quebec</t>
        </is>
      </c>
      <c r="G174" s="2" t="n"/>
      <c r="H174" s="2" t="n"/>
      <c r="I174" s="2" t="n"/>
      <c r="J174" s="55" t="inlineStr">
        <is>
          <t>planned</t>
        </is>
      </c>
      <c r="K174" s="2" t="inlineStr">
        <is>
          <t>Lithium</t>
        </is>
      </c>
      <c r="L174" s="2" t="n"/>
      <c r="M174" s="2" t="n"/>
      <c r="N174" s="2" t="n"/>
      <c r="O174" s="55" t="n"/>
      <c r="P174" s="55" t="inlineStr">
        <is>
          <t>TRUE</t>
        </is>
      </c>
      <c r="Q174" s="55" t="inlineStr">
        <is>
          <t>ore</t>
        </is>
      </c>
      <c r="R174" s="2" t="inlineStr">
        <is>
          <t>253090</t>
        </is>
      </c>
      <c r="S174" s="55" t="inlineStr">
        <is>
          <t>operator</t>
        </is>
      </c>
      <c r="T174" s="2" t="n">
        <v>1</v>
      </c>
      <c r="U174" s="2" t="inlineStr">
        <is>
          <t>https://www.sec.gov/Archives/edgar/data/863064/000162828026009531/rio-20251231.htm</t>
        </is>
      </c>
      <c r="V174" s="2" t="inlineStr">
        <is>
          <t>RT 20-F Item 4.D via Arcadium (originally Allkem). James Bay hard-rock spodumene project — Quebec. Rio Tinto 100% via Arcadium. Development stage. [stage normalized "exploration"-&gt;"ore" 2026-07-07: future ore output; project stage carried by status column] [status normalized "development"-&gt;"planned" 2026-07-07]</t>
        </is>
      </c>
      <c r="W174" s="2" t="n"/>
      <c r="X174" s="2" t="n"/>
      <c r="Y174" s="2" t="n"/>
      <c r="Z174" s="2" t="n"/>
      <c r="AA174" s="0" t="inlineStr">
        <is>
          <t>lithium spodumene concentrate (planned)</t>
        </is>
      </c>
    </row>
    <row r="175" ht="15.75" customHeight="1" s="74">
      <c r="A175" s="2" t="inlineStr">
        <is>
          <t>Rio Tinto plc</t>
        </is>
      </c>
      <c r="B175" s="2" t="inlineStr">
        <is>
          <t>GB</t>
        </is>
      </c>
      <c r="C175" s="2" t="inlineStr">
        <is>
          <t>Alma</t>
        </is>
      </c>
      <c r="D175" s="55" t="inlineStr">
        <is>
          <t>smelter</t>
        </is>
      </c>
      <c r="E175" s="2" t="inlineStr">
        <is>
          <t>CA</t>
        </is>
      </c>
      <c r="F175" s="2" t="inlineStr">
        <is>
          <t>Quebec</t>
        </is>
      </c>
      <c r="G175" s="2" t="n"/>
      <c r="H175" s="2" t="n"/>
      <c r="I175" s="2" t="n"/>
      <c r="J175" s="55" t="inlineStr">
        <is>
          <t>operating</t>
        </is>
      </c>
      <c r="K175" s="2" t="inlineStr">
        <is>
          <t>Aluminum</t>
        </is>
      </c>
      <c r="L175" s="2" t="n"/>
      <c r="M175" s="2" t="n"/>
      <c r="N175" s="2" t="n">
        <v>485000</v>
      </c>
      <c r="O175" s="55" t="inlineStr">
        <is>
          <t>tonnes primary aluminium</t>
        </is>
      </c>
      <c r="P175" s="55" t="inlineStr">
        <is>
          <t>TRUE</t>
        </is>
      </c>
      <c r="Q175" s="55" t="inlineStr">
        <is>
          <t>refined</t>
        </is>
      </c>
      <c r="R175" s="2" t="inlineStr">
        <is>
          <t>760110</t>
        </is>
      </c>
      <c r="S175" s="55" t="inlineStr">
        <is>
          <t>operator</t>
        </is>
      </c>
      <c r="T175" s="2" t="n">
        <v>1</v>
      </c>
      <c r="U175" s="2" t="inlineStr">
        <is>
          <t>https://www.sec.gov/Archives/edgar/data/863064/000162828026009531/rio-20251231.htm</t>
        </is>
      </c>
      <c r="V175" s="2" t="inlineStr">
        <is>
          <t>RT 20-F Item 4.D Primary Aluminium FY25: RT share 485 kt (total plant 485 kt at 100.0% RT ownership). AP30 potline technology. [stage normalized "smelting"-&gt;"refined" 2026-07-07: smelter output = metal (Al smelters -&gt; primary aluminum; Cu smelters at these rows integrated to cathode)]</t>
        </is>
      </c>
      <c r="W175" s="2" t="n"/>
      <c r="X175" s="2" t="n"/>
      <c r="Y175" s="2" t="n"/>
      <c r="Z175" s="2" t="n"/>
      <c r="AA175" s="0" t="inlineStr">
        <is>
          <t>primary aluminium ingot</t>
        </is>
      </c>
    </row>
    <row r="176" ht="15.75" customHeight="1" s="74">
      <c r="A176" s="2" t="inlineStr">
        <is>
          <t>Rio Tinto plc</t>
        </is>
      </c>
      <c r="B176" s="2" t="inlineStr">
        <is>
          <t>GB</t>
        </is>
      </c>
      <c r="C176" s="2" t="inlineStr">
        <is>
          <t>Alouette (Sept-Îles)</t>
        </is>
      </c>
      <c r="D176" s="55" t="inlineStr">
        <is>
          <t>smelter</t>
        </is>
      </c>
      <c r="E176" s="2" t="inlineStr">
        <is>
          <t>CA</t>
        </is>
      </c>
      <c r="F176" s="2" t="inlineStr">
        <is>
          <t>Quebec</t>
        </is>
      </c>
      <c r="G176" s="2" t="n"/>
      <c r="H176" s="2" t="n"/>
      <c r="I176" s="2" t="n"/>
      <c r="J176" s="55" t="inlineStr">
        <is>
          <t>operating</t>
        </is>
      </c>
      <c r="K176" s="2" t="inlineStr">
        <is>
          <t>Aluminum</t>
        </is>
      </c>
      <c r="L176" s="2" t="n"/>
      <c r="M176" s="2" t="n"/>
      <c r="N176" s="2" t="n">
        <v>247000</v>
      </c>
      <c r="O176" s="55" t="inlineStr">
        <is>
          <t>tonnes primary aluminium</t>
        </is>
      </c>
      <c r="P176" s="55" t="inlineStr">
        <is>
          <t>TRUE</t>
        </is>
      </c>
      <c r="Q176" s="55" t="inlineStr">
        <is>
          <t>refined</t>
        </is>
      </c>
      <c r="R176" s="2" t="inlineStr">
        <is>
          <t>760110</t>
        </is>
      </c>
      <c r="S176" s="55" t="inlineStr">
        <is>
          <t>jv_partner</t>
        </is>
      </c>
      <c r="T176" s="2" t="n">
        <v>0.4</v>
      </c>
      <c r="U176" s="2" t="inlineStr">
        <is>
          <t>https://www.sec.gov/Archives/edgar/data/863064/000162828026009531/rio-20251231.htm</t>
        </is>
      </c>
      <c r="V176" s="2" t="inlineStr">
        <is>
          <t>RT 20-F Item 4.D Primary Aluminium FY25: RT share 247 kt (total plant 616 kt at 40.0% RT ownership). Rio Tinto owns 40% via Aluminerie Alouette JV (with Hydro Norsk, Norsk Hydro, Marubeni). [stage normalized "smelting"-&gt;"refined" 2026-07-07: smelter output = metal (Al smelters -&gt; primary aluminum; Cu smelters at these rows integrated to cathode)] [OWNERSHIP TYPE FIX 2026-07-10: was 'jv_partner_non_operator' (non-operator JV) - loader enum has no operator-distinction.]</t>
        </is>
      </c>
      <c r="W176" s="2" t="n"/>
      <c r="X176" s="2" t="n"/>
      <c r="Y176" s="2" t="n"/>
      <c r="Z176" s="2" t="n"/>
      <c r="AA176" s="0" t="inlineStr">
        <is>
          <t>primary aluminium ingot</t>
        </is>
      </c>
    </row>
    <row r="177" ht="15.75" customHeight="1" s="74">
      <c r="A177" s="2" t="inlineStr">
        <is>
          <t>Rio Tinto plc</t>
        </is>
      </c>
      <c r="B177" s="2" t="inlineStr">
        <is>
          <t>GB</t>
        </is>
      </c>
      <c r="C177" s="2" t="inlineStr">
        <is>
          <t>Arvida</t>
        </is>
      </c>
      <c r="D177" s="2" t="inlineStr">
        <is>
          <t>smelter</t>
        </is>
      </c>
      <c r="E177" s="2" t="inlineStr">
        <is>
          <t>CA</t>
        </is>
      </c>
      <c r="F177" s="2" t="inlineStr">
        <is>
          <t>Quebec</t>
        </is>
      </c>
      <c r="G177" s="2" t="n"/>
      <c r="H177" s="2" t="n"/>
      <c r="I177" s="2" t="n"/>
      <c r="J177" s="2" t="inlineStr">
        <is>
          <t>operating</t>
        </is>
      </c>
      <c r="K177" s="2" t="inlineStr">
        <is>
          <t>Aluminum</t>
        </is>
      </c>
      <c r="L177" s="2" t="n"/>
      <c r="M177" s="2" t="n"/>
      <c r="N177" s="2" t="n">
        <v>130000</v>
      </c>
      <c r="O177" s="2" t="inlineStr">
        <is>
          <t>tonnes primary aluminium</t>
        </is>
      </c>
      <c r="P177" s="2" t="inlineStr">
        <is>
          <t>TRUE</t>
        </is>
      </c>
      <c r="Q177" s="2" t="inlineStr">
        <is>
          <t>refined</t>
        </is>
      </c>
      <c r="R177" s="2" t="inlineStr">
        <is>
          <t>760110</t>
        </is>
      </c>
      <c r="S177" s="2" t="inlineStr">
        <is>
          <t>operator</t>
        </is>
      </c>
      <c r="T177" s="2" t="n">
        <v>1</v>
      </c>
      <c r="U177" s="2" t="inlineStr">
        <is>
          <t>https://www.sec.gov/Archives/edgar/data/863064/000162828026009531/rio-20251231.htm</t>
        </is>
      </c>
      <c r="V177" s="2" t="inlineStr">
        <is>
          <t>RT 20-F Item 4.D Primary Aluminium FY25: RT share 130 kt (total plant 130 kt at 100.0% RT ownership). Historic asset — hydro-powered. [stage normalized "smelting"-&gt;"refined" 2026-07-07: smelter output = metal (Al smelters -&gt; primary aluminum; Cu smelters at these rows integrated to cathode)]</t>
        </is>
      </c>
      <c r="W177" s="2" t="n"/>
      <c r="X177" s="2" t="n"/>
      <c r="Y177" s="2" t="n"/>
      <c r="Z177" s="2" t="n"/>
      <c r="AA177" s="0" t="inlineStr">
        <is>
          <t>primary aluminium ingot</t>
        </is>
      </c>
    </row>
    <row r="178" ht="15.75" customHeight="1" s="74">
      <c r="A178" s="2" t="inlineStr">
        <is>
          <t>Rio Tinto plc</t>
        </is>
      </c>
      <c r="B178" s="2" t="inlineStr">
        <is>
          <t>GB</t>
        </is>
      </c>
      <c r="C178" s="2" t="inlineStr">
        <is>
          <t>Arvida AP60</t>
        </is>
      </c>
      <c r="D178" s="2" t="inlineStr">
        <is>
          <t>smelter</t>
        </is>
      </c>
      <c r="E178" s="2" t="inlineStr">
        <is>
          <t>CA</t>
        </is>
      </c>
      <c r="F178" s="2" t="inlineStr">
        <is>
          <t>Quebec</t>
        </is>
      </c>
      <c r="G178" s="2" t="n"/>
      <c r="H178" s="2" t="n"/>
      <c r="I178" s="2" t="n"/>
      <c r="J178" s="2" t="inlineStr">
        <is>
          <t>operating</t>
        </is>
      </c>
      <c r="K178" s="2" t="inlineStr">
        <is>
          <t>Aluminum</t>
        </is>
      </c>
      <c r="L178" s="2" t="n"/>
      <c r="M178" s="2" t="n"/>
      <c r="N178" s="2" t="n">
        <v>60000</v>
      </c>
      <c r="O178" s="2" t="inlineStr">
        <is>
          <t>tonnes primary aluminium</t>
        </is>
      </c>
      <c r="P178" s="2" t="inlineStr">
        <is>
          <t>TRUE</t>
        </is>
      </c>
      <c r="Q178" s="2" t="inlineStr">
        <is>
          <t>refined</t>
        </is>
      </c>
      <c r="R178" s="2" t="inlineStr">
        <is>
          <t>760110</t>
        </is>
      </c>
      <c r="S178" s="2" t="inlineStr">
        <is>
          <t>operator</t>
        </is>
      </c>
      <c r="T178" s="2" t="n">
        <v>1</v>
      </c>
      <c r="U178" s="2" t="inlineStr">
        <is>
          <t>https://www.sec.gov/Archives/edgar/data/863064/000162828026009531/rio-20251231.htm</t>
        </is>
      </c>
      <c r="V178" s="2" t="inlineStr">
        <is>
          <t>RT 20-F Item 4.D Primary Aluminium FY25: RT share 60 kt (total plant 60 kt at 100.0% RT ownership). Newer smelting technology plant. [stage normalized "smelting"-&gt;"refined" 2026-07-07: smelter output = metal (Al smelters -&gt; primary aluminum; Cu smelters at these rows integrated to cathode)]</t>
        </is>
      </c>
      <c r="W178" s="2" t="n"/>
      <c r="X178" s="2" t="n"/>
      <c r="Y178" s="2" t="n"/>
      <c r="Z178" s="2" t="n"/>
      <c r="AA178" s="0" t="inlineStr">
        <is>
          <t>primary aluminium ingot</t>
        </is>
      </c>
    </row>
    <row r="179" ht="15.75" customHeight="1" s="74">
      <c r="A179" s="2" t="inlineStr">
        <is>
          <t>Rio Tinto plc</t>
        </is>
      </c>
      <c r="B179" s="2" t="inlineStr">
        <is>
          <t>GB</t>
        </is>
      </c>
      <c r="C179" s="2" t="inlineStr">
        <is>
          <t>Bécancour</t>
        </is>
      </c>
      <c r="D179" s="2" t="inlineStr">
        <is>
          <t>smelter</t>
        </is>
      </c>
      <c r="E179" s="2" t="inlineStr">
        <is>
          <t>CA</t>
        </is>
      </c>
      <c r="F179" s="2" t="inlineStr">
        <is>
          <t>Quebec</t>
        </is>
      </c>
      <c r="G179" s="2" t="n"/>
      <c r="H179" s="2" t="n"/>
      <c r="I179" s="2" t="n"/>
      <c r="J179" s="2" t="inlineStr">
        <is>
          <t>operating</t>
        </is>
      </c>
      <c r="K179" s="2" t="inlineStr">
        <is>
          <t>Aluminum</t>
        </is>
      </c>
      <c r="L179" s="2" t="n"/>
      <c r="M179" s="2" t="n"/>
      <c r="N179" s="2" t="n">
        <v>118000</v>
      </c>
      <c r="O179" s="2" t="inlineStr">
        <is>
          <t>tonnes primary aluminium</t>
        </is>
      </c>
      <c r="P179" s="2" t="inlineStr">
        <is>
          <t>TRUE</t>
        </is>
      </c>
      <c r="Q179" s="2" t="inlineStr">
        <is>
          <t>refined</t>
        </is>
      </c>
      <c r="R179" s="2" t="inlineStr">
        <is>
          <t>760110</t>
        </is>
      </c>
      <c r="S179" s="2" t="inlineStr">
        <is>
          <t>jv_partner</t>
        </is>
      </c>
      <c r="T179" s="2" t="n">
        <v>0.25</v>
      </c>
      <c r="U179" s="2" t="inlineStr">
        <is>
          <t>https://www.sec.gov/Archives/edgar/data/863064/000162828026009531/rio-20251231.htm</t>
        </is>
      </c>
      <c r="V179" s="2" t="inlineStr">
        <is>
          <t>RT 20-F Item 4.D Primary Aluminium FY25: RT share 118 kt (total plant 470 kt at 25.0% RT ownership). Rio Tinto 25% JV with Alcoa. [stage normalized "smelting"-&gt;"refined" 2026-07-07: smelter output = metal (Al smelters -&gt; primary aluminum; Cu smelters at these rows integrated to cathode)] [OWNERSHIP TYPE FIX 2026-07-10: was 'jv_partner_non_operator' (non-operator JV) - loader enum has no operator-distinction.]</t>
        </is>
      </c>
      <c r="W179" s="2" t="n"/>
      <c r="X179" s="2" t="n"/>
      <c r="Y179" s="2" t="n"/>
      <c r="Z179" s="2" t="n"/>
      <c r="AA179" s="0" t="inlineStr">
        <is>
          <t>primary aluminium ingot</t>
        </is>
      </c>
    </row>
    <row r="180" ht="15.75" customHeight="1" s="74">
      <c r="A180" s="2" t="inlineStr">
        <is>
          <t>Rio Tinto plc</t>
        </is>
      </c>
      <c r="B180" s="2" t="inlineStr">
        <is>
          <t>GB</t>
        </is>
      </c>
      <c r="C180" s="2" t="inlineStr">
        <is>
          <t>Bell Bay</t>
        </is>
      </c>
      <c r="D180" s="2" t="inlineStr">
        <is>
          <t>smelter</t>
        </is>
      </c>
      <c r="E180" s="2" t="inlineStr">
        <is>
          <t>AU</t>
        </is>
      </c>
      <c r="F180" s="2" t="inlineStr">
        <is>
          <t>Tasmania</t>
        </is>
      </c>
      <c r="G180" s="2" t="n"/>
      <c r="H180" s="2" t="n"/>
      <c r="I180" s="2" t="n"/>
      <c r="J180" s="2" t="inlineStr">
        <is>
          <t>operating</t>
        </is>
      </c>
      <c r="K180" s="2" t="inlineStr">
        <is>
          <t>Aluminum</t>
        </is>
      </c>
      <c r="L180" s="2" t="n"/>
      <c r="M180" s="2" t="n"/>
      <c r="N180" s="2" t="n">
        <v>190000</v>
      </c>
      <c r="O180" s="2" t="inlineStr">
        <is>
          <t>tonnes primary aluminium</t>
        </is>
      </c>
      <c r="P180" s="2" t="inlineStr">
        <is>
          <t>TRUE</t>
        </is>
      </c>
      <c r="Q180" s="2" t="inlineStr">
        <is>
          <t>refined</t>
        </is>
      </c>
      <c r="R180" s="2" t="inlineStr">
        <is>
          <t>760110</t>
        </is>
      </c>
      <c r="S180" s="2" t="inlineStr">
        <is>
          <t>operator</t>
        </is>
      </c>
      <c r="T180" s="2" t="n">
        <v>1</v>
      </c>
      <c r="U180" s="2" t="inlineStr">
        <is>
          <t>https://www.sec.gov/Archives/edgar/data/863064/000162828026009531/rio-20251231.htm</t>
        </is>
      </c>
      <c r="V180" s="2" t="inlineStr">
        <is>
          <t>RT 20-F Item 4.D Primary Aluminium FY25: RT share 190 kt (total plant 190 kt at 100.0% RT ownership). Australia's oldest continuously operating aluminium smelter (1955). [stage normalized "smelting"-&gt;"refined" 2026-07-07: smelter output = metal (Al smelters -&gt; primary aluminum; Cu smelters at these rows integrated to cathode)]</t>
        </is>
      </c>
      <c r="W180" s="2" t="n"/>
      <c r="X180" s="2" t="n"/>
      <c r="Y180" s="2" t="n"/>
      <c r="Z180" s="2" t="n"/>
      <c r="AA180" s="0" t="inlineStr">
        <is>
          <t>primary aluminium ingot</t>
        </is>
      </c>
    </row>
    <row r="181" ht="15.75" customHeight="1" s="74">
      <c r="A181" s="2" t="inlineStr">
        <is>
          <t>Rio Tinto plc</t>
        </is>
      </c>
      <c r="B181" s="2" t="inlineStr">
        <is>
          <t>GB</t>
        </is>
      </c>
      <c r="C181" s="2" t="inlineStr">
        <is>
          <t>Boyne Island</t>
        </is>
      </c>
      <c r="D181" s="2" t="inlineStr">
        <is>
          <t>smelter</t>
        </is>
      </c>
      <c r="E181" s="2" t="inlineStr">
        <is>
          <t>AU</t>
        </is>
      </c>
      <c r="F181" s="2" t="inlineStr">
        <is>
          <t>Queensland</t>
        </is>
      </c>
      <c r="G181" s="2" t="n"/>
      <c r="H181" s="2" t="n"/>
      <c r="I181" s="2" t="n"/>
      <c r="J181" s="2" t="inlineStr">
        <is>
          <t>operating</t>
        </is>
      </c>
      <c r="K181" s="2" t="inlineStr">
        <is>
          <t>Aluminum</t>
        </is>
      </c>
      <c r="L181" s="2" t="n"/>
      <c r="M181" s="2" t="n"/>
      <c r="N181" s="2" t="n">
        <v>370000</v>
      </c>
      <c r="O181" s="2" t="inlineStr">
        <is>
          <t>tonnes primary aluminium</t>
        </is>
      </c>
      <c r="P181" s="2" t="inlineStr">
        <is>
          <t>TRUE</t>
        </is>
      </c>
      <c r="Q181" s="2" t="inlineStr">
        <is>
          <t>refined</t>
        </is>
      </c>
      <c r="R181" s="2" t="inlineStr">
        <is>
          <t>760110</t>
        </is>
      </c>
      <c r="S181" s="2" t="inlineStr">
        <is>
          <t>operator</t>
        </is>
      </c>
      <c r="T181" s="2" t="n">
        <v>0.74</v>
      </c>
      <c r="U181" s="2" t="inlineStr">
        <is>
          <t>https://www.sec.gov/Archives/edgar/data/863064/000162828026009531/rio-20251231.htm</t>
        </is>
      </c>
      <c r="V181" s="2" t="inlineStr">
        <is>
          <t>RT 20-F Item 4.D Primary Aluminium FY25: RT share 370 kt (total plant 504 kt at 74.0% RT ownership). Boyne Smelters Limited (BSL). RT ownership INCREASED from 71.04% to 73.5% on 1 Nov 2024 (see risk event Row 93). Note filing shows 74% — small rounding vs source. [stage normalized "smelting"-&gt;"refined" 2026-07-07: smelter output = metal (Al smelters -&gt; primary aluminum; Cu smelters at these rows integrated to cathode)]</t>
        </is>
      </c>
      <c r="W181" s="2" t="n"/>
      <c r="X181" s="2" t="n"/>
      <c r="Y181" s="2" t="n"/>
      <c r="Z181" s="2" t="n"/>
      <c r="AA181" s="0" t="inlineStr">
        <is>
          <t>primary aluminium ingot</t>
        </is>
      </c>
    </row>
    <row r="182" ht="15.75" customHeight="1" s="74">
      <c r="A182" s="2" t="inlineStr">
        <is>
          <t>Rio Tinto plc</t>
        </is>
      </c>
      <c r="B182" s="2" t="inlineStr">
        <is>
          <t>GB</t>
        </is>
      </c>
      <c r="C182" s="2" t="inlineStr">
        <is>
          <t>Grande-Baie</t>
        </is>
      </c>
      <c r="D182" s="2" t="inlineStr">
        <is>
          <t>smelter</t>
        </is>
      </c>
      <c r="E182" s="2" t="inlineStr">
        <is>
          <t>CA</t>
        </is>
      </c>
      <c r="F182" s="2" t="inlineStr">
        <is>
          <t>Quebec</t>
        </is>
      </c>
      <c r="G182" s="2" t="n"/>
      <c r="H182" s="2" t="n"/>
      <c r="I182" s="2" t="n"/>
      <c r="J182" s="2" t="inlineStr">
        <is>
          <t>operating</t>
        </is>
      </c>
      <c r="K182" s="2" t="inlineStr">
        <is>
          <t>Aluminum</t>
        </is>
      </c>
      <c r="L182" s="2" t="n"/>
      <c r="M182" s="2" t="n"/>
      <c r="N182" s="2" t="n">
        <v>229000</v>
      </c>
      <c r="O182" s="2" t="inlineStr">
        <is>
          <t>tonnes primary aluminium</t>
        </is>
      </c>
      <c r="P182" s="2" t="inlineStr">
        <is>
          <t>TRUE</t>
        </is>
      </c>
      <c r="Q182" s="2" t="inlineStr">
        <is>
          <t>refined</t>
        </is>
      </c>
      <c r="R182" s="2" t="inlineStr">
        <is>
          <t>760110</t>
        </is>
      </c>
      <c r="S182" s="2" t="inlineStr">
        <is>
          <t>operator</t>
        </is>
      </c>
      <c r="T182" s="2" t="n">
        <v>1</v>
      </c>
      <c r="U182" s="2" t="inlineStr">
        <is>
          <t>https://www.sec.gov/Archives/edgar/data/863064/000162828026009531/rio-20251231.htm</t>
        </is>
      </c>
      <c r="V182" s="2" t="inlineStr">
        <is>
          <t>RT 20-F Item 4.D Primary Aluminium FY25: RT share 229 kt (total plant 229 kt at 100.0% RT ownership). Hydro-powered smelter. [stage normalized "smelting"-&gt;"refined" 2026-07-07: smelter output = metal (Al smelters -&gt; primary aluminum; Cu smelters at these rows integrated to cathode)]</t>
        </is>
      </c>
      <c r="W182" s="2" t="n"/>
      <c r="X182" s="2" t="n"/>
      <c r="Y182" s="2" t="n"/>
      <c r="Z182" s="2" t="n"/>
      <c r="AA182" s="0" t="inlineStr">
        <is>
          <t>primary aluminium ingot</t>
        </is>
      </c>
    </row>
    <row r="183" ht="15.75" customHeight="1" s="74">
      <c r="A183" s="2" t="inlineStr">
        <is>
          <t>Rio Tinto plc</t>
        </is>
      </c>
      <c r="B183" s="2" t="inlineStr">
        <is>
          <t>GB</t>
        </is>
      </c>
      <c r="C183" s="2" t="inlineStr">
        <is>
          <t>ISAL (Reykjavik)</t>
        </is>
      </c>
      <c r="D183" s="2" t="inlineStr">
        <is>
          <t>smelter</t>
        </is>
      </c>
      <c r="E183" s="2" t="inlineStr">
        <is>
          <t>IS</t>
        </is>
      </c>
      <c r="F183" s="2" t="inlineStr">
        <is>
          <t>Reykjavik</t>
        </is>
      </c>
      <c r="G183" s="2" t="n"/>
      <c r="H183" s="2" t="n"/>
      <c r="I183" s="2" t="n"/>
      <c r="J183" s="2" t="inlineStr">
        <is>
          <t>operating</t>
        </is>
      </c>
      <c r="K183" s="2" t="inlineStr">
        <is>
          <t>Aluminum</t>
        </is>
      </c>
      <c r="L183" s="2" t="n"/>
      <c r="M183" s="2" t="n"/>
      <c r="N183" s="2" t="n">
        <v>203000</v>
      </c>
      <c r="O183" s="2" t="inlineStr">
        <is>
          <t>tonnes primary aluminium</t>
        </is>
      </c>
      <c r="P183" s="2" t="inlineStr">
        <is>
          <t>TRUE</t>
        </is>
      </c>
      <c r="Q183" s="2" t="inlineStr">
        <is>
          <t>refined</t>
        </is>
      </c>
      <c r="R183" s="2" t="inlineStr">
        <is>
          <t>760110</t>
        </is>
      </c>
      <c r="S183" s="2" t="inlineStr">
        <is>
          <t>operator</t>
        </is>
      </c>
      <c r="T183" s="2" t="n">
        <v>1</v>
      </c>
      <c r="U183" s="2" t="inlineStr">
        <is>
          <t>https://www.sec.gov/Archives/edgar/data/863064/000162828026009531/rio-20251231.htm</t>
        </is>
      </c>
      <c r="V183" s="2" t="inlineStr">
        <is>
          <t>RT 20-F Item 4.D Primary Aluminium FY25: RT share 203 kt (total plant 203 kt at 100.0% RT ownership). Iceland — geothermal + hydro powered. Rio Tinto 100%. [stage normalized "smelting"-&gt;"refined" 2026-07-07: smelter output = metal (Al smelters -&gt; primary aluminum; Cu smelters at these rows integrated to cathode)]</t>
        </is>
      </c>
      <c r="W183" s="2" t="n"/>
      <c r="X183" s="2" t="n"/>
      <c r="Y183" s="2" t="n"/>
      <c r="Z183" s="2" t="n"/>
      <c r="AA183" s="0" t="inlineStr">
        <is>
          <t>primary aluminium ingot</t>
        </is>
      </c>
    </row>
    <row r="184" ht="15.75" customHeight="1" s="74">
      <c r="A184" s="2" t="inlineStr">
        <is>
          <t>Rio Tinto plc</t>
        </is>
      </c>
      <c r="B184" s="2" t="inlineStr">
        <is>
          <t>GB</t>
        </is>
      </c>
      <c r="C184" s="2" t="inlineStr">
        <is>
          <t>Kitimat</t>
        </is>
      </c>
      <c r="D184" s="2" t="inlineStr">
        <is>
          <t>smelter</t>
        </is>
      </c>
      <c r="E184" s="2" t="inlineStr">
        <is>
          <t>CA</t>
        </is>
      </c>
      <c r="F184" s="2" t="inlineStr">
        <is>
          <t>British Columbia</t>
        </is>
      </c>
      <c r="G184" s="2" t="n"/>
      <c r="H184" s="2" t="n"/>
      <c r="I184" s="2" t="n"/>
      <c r="J184" s="2" t="inlineStr">
        <is>
          <t>operating</t>
        </is>
      </c>
      <c r="K184" s="2" t="inlineStr">
        <is>
          <t>Aluminum</t>
        </is>
      </c>
      <c r="L184" s="2" t="n"/>
      <c r="M184" s="2" t="n"/>
      <c r="N184" s="2" t="n">
        <v>406000</v>
      </c>
      <c r="O184" s="2" t="inlineStr">
        <is>
          <t>tonnes primary aluminium</t>
        </is>
      </c>
      <c r="P184" s="2" t="inlineStr">
        <is>
          <t>TRUE</t>
        </is>
      </c>
      <c r="Q184" s="2" t="inlineStr">
        <is>
          <t>refined</t>
        </is>
      </c>
      <c r="R184" s="2" t="inlineStr">
        <is>
          <t>760110</t>
        </is>
      </c>
      <c r="S184" s="2" t="inlineStr">
        <is>
          <t>operator</t>
        </is>
      </c>
      <c r="T184" s="2" t="n">
        <v>1</v>
      </c>
      <c r="U184" s="2" t="inlineStr">
        <is>
          <t>https://www.sec.gov/Archives/edgar/data/863064/000162828026009531/rio-20251231.htm</t>
        </is>
      </c>
      <c r="V184" s="2" t="inlineStr">
        <is>
          <t>RT 20-F Item 4.D Primary Aluminium FY25: RT share 406 kt (total plant 406 kt at 100.0% RT ownership). BC — hydro-powered (owned Kemano hydroelectric). Rio Tinto 100%. [stage normalized "smelting"-&gt;"refined" 2026-07-07: smelter output = metal (Al smelters -&gt; primary aluminum; Cu smelters at these rows integrated to cathode)]</t>
        </is>
      </c>
      <c r="W184" s="2" t="n"/>
      <c r="X184" s="2" t="n"/>
      <c r="Y184" s="2" t="n"/>
      <c r="Z184" s="2" t="n"/>
      <c r="AA184" s="0" t="inlineStr">
        <is>
          <t>primary aluminium ingot</t>
        </is>
      </c>
    </row>
    <row r="185" ht="15.75" customHeight="1" s="74">
      <c r="A185" s="2" t="inlineStr">
        <is>
          <t>Rio Tinto plc</t>
        </is>
      </c>
      <c r="B185" s="2" t="inlineStr">
        <is>
          <t>GB</t>
        </is>
      </c>
      <c r="C185" s="2" t="inlineStr">
        <is>
          <t>Laterrière</t>
        </is>
      </c>
      <c r="D185" s="2" t="inlineStr">
        <is>
          <t>smelter</t>
        </is>
      </c>
      <c r="E185" s="2" t="inlineStr">
        <is>
          <t>CA</t>
        </is>
      </c>
      <c r="F185" s="2" t="inlineStr">
        <is>
          <t>Quebec</t>
        </is>
      </c>
      <c r="G185" s="2" t="n"/>
      <c r="H185" s="2" t="n"/>
      <c r="I185" s="2" t="n"/>
      <c r="J185" s="2" t="inlineStr">
        <is>
          <t>operating</t>
        </is>
      </c>
      <c r="K185" s="2" t="inlineStr">
        <is>
          <t>Aluminum</t>
        </is>
      </c>
      <c r="L185" s="2" t="n"/>
      <c r="M185" s="2" t="n"/>
      <c r="N185" s="2" t="n">
        <v>251000</v>
      </c>
      <c r="O185" s="2" t="inlineStr">
        <is>
          <t>tonnes primary aluminium</t>
        </is>
      </c>
      <c r="P185" s="2" t="inlineStr">
        <is>
          <t>TRUE</t>
        </is>
      </c>
      <c r="Q185" s="2" t="inlineStr">
        <is>
          <t>refined</t>
        </is>
      </c>
      <c r="R185" s="2" t="inlineStr">
        <is>
          <t>760110</t>
        </is>
      </c>
      <c r="S185" s="2" t="inlineStr">
        <is>
          <t>operator</t>
        </is>
      </c>
      <c r="T185" s="2" t="n">
        <v>1</v>
      </c>
      <c r="U185" s="2" t="inlineStr">
        <is>
          <t>https://www.sec.gov/Archives/edgar/data/863064/000162828026009531/rio-20251231.htm</t>
        </is>
      </c>
      <c r="V185" s="2" t="inlineStr">
        <is>
          <t>RT 20-F Item 4.D Primary Aluminium FY25: RT share 251 kt (total plant 251 kt at 100.0% RT ownership). Hydro-powered smelter. [stage normalized "smelting"-&gt;"refined" 2026-07-07: smelter output = metal (Al smelters -&gt; primary aluminum; Cu smelters at these rows integrated to cathode)]</t>
        </is>
      </c>
      <c r="W185" s="2" t="n"/>
      <c r="X185" s="2" t="n"/>
      <c r="Y185" s="2" t="n"/>
      <c r="Z185" s="2" t="n"/>
      <c r="AA185" s="0" t="inlineStr">
        <is>
          <t>primary aluminium ingot</t>
        </is>
      </c>
    </row>
    <row r="186" ht="15.75" customHeight="1" s="74">
      <c r="A186" s="2" t="inlineStr">
        <is>
          <t>Rio Tinto plc</t>
        </is>
      </c>
      <c r="B186" s="2" t="inlineStr">
        <is>
          <t>GB</t>
        </is>
      </c>
      <c r="C186" s="2" t="inlineStr">
        <is>
          <t>Sohar</t>
        </is>
      </c>
      <c r="D186" s="2" t="inlineStr">
        <is>
          <t>smelter</t>
        </is>
      </c>
      <c r="E186" s="2" t="inlineStr">
        <is>
          <t>OM</t>
        </is>
      </c>
      <c r="F186" s="2" t="inlineStr">
        <is>
          <t>Al Batinah North</t>
        </is>
      </c>
      <c r="G186" s="2" t="n"/>
      <c r="H186" s="2" t="n"/>
      <c r="I186" s="2" t="n"/>
      <c r="J186" s="2" t="inlineStr">
        <is>
          <t>operating</t>
        </is>
      </c>
      <c r="K186" s="2" t="inlineStr">
        <is>
          <t>Aluminum</t>
        </is>
      </c>
      <c r="L186" s="2" t="n"/>
      <c r="M186" s="2" t="n"/>
      <c r="N186" s="2" t="n">
        <v>80000</v>
      </c>
      <c r="O186" s="2" t="inlineStr">
        <is>
          <t>tonnes primary aluminium</t>
        </is>
      </c>
      <c r="P186" s="2" t="inlineStr">
        <is>
          <t>TRUE</t>
        </is>
      </c>
      <c r="Q186" s="2" t="inlineStr">
        <is>
          <t>refined</t>
        </is>
      </c>
      <c r="R186" s="2" t="inlineStr">
        <is>
          <t>760110</t>
        </is>
      </c>
      <c r="S186" s="2" t="inlineStr">
        <is>
          <t>jv_partner</t>
        </is>
      </c>
      <c r="T186" s="2" t="n">
        <v>0.2</v>
      </c>
      <c r="U186" s="2" t="inlineStr">
        <is>
          <t>https://www.sec.gov/Archives/edgar/data/863064/000162828026009531/rio-20251231.htm</t>
        </is>
      </c>
      <c r="V186" s="2" t="inlineStr">
        <is>
          <t>RT 20-F Item 4.D Primary Aluminium FY25: RT share 80 kt (total plant 400 kt at 20.0% RT ownership). Sohar Aluminium — Oman. Rio Tinto 20% JV. [stage normalized "smelting"-&gt;"refined" 2026-07-07: smelter output = metal (Al smelters -&gt; primary aluminum; Cu smelters at these rows integrated to cathode)] [OWNERSHIP TYPE FIX 2026-07-10: was 'jv_partner_non_operator' (non-operator JV) - loader enum has no operator-distinction.]</t>
        </is>
      </c>
      <c r="W186" s="2" t="n"/>
      <c r="X186" s="2" t="n"/>
      <c r="Y186" s="2" t="n"/>
      <c r="Z186" s="2" t="n"/>
      <c r="AA186" s="0" t="inlineStr">
        <is>
          <t>primary aluminium ingot</t>
        </is>
      </c>
    </row>
    <row r="187" ht="15.75" customHeight="1" s="74">
      <c r="A187" s="2" t="inlineStr">
        <is>
          <t>Rio Tinto plc</t>
        </is>
      </c>
      <c r="B187" s="2" t="inlineStr">
        <is>
          <t>GB</t>
        </is>
      </c>
      <c r="C187" s="2" t="inlineStr">
        <is>
          <t>Tiwai Point Smelter</t>
        </is>
      </c>
      <c r="D187" s="2" t="inlineStr">
        <is>
          <t>smelter</t>
        </is>
      </c>
      <c r="E187" s="2" t="inlineStr">
        <is>
          <t>NZ</t>
        </is>
      </c>
      <c r="F187" s="2" t="inlineStr">
        <is>
          <t>Southland</t>
        </is>
      </c>
      <c r="G187" s="2" t="n"/>
      <c r="H187" s="2" t="n"/>
      <c r="I187" s="2" t="n"/>
      <c r="J187" s="2" t="inlineStr">
        <is>
          <t>operating</t>
        </is>
      </c>
      <c r="K187" s="2" t="inlineStr">
        <is>
          <t>Aluminum</t>
        </is>
      </c>
      <c r="L187" s="2" t="n"/>
      <c r="M187" s="2" t="n"/>
      <c r="N187" s="2" t="n">
        <v>315000</v>
      </c>
      <c r="O187" s="2" t="inlineStr">
        <is>
          <t>tonnes primary aluminium</t>
        </is>
      </c>
      <c r="P187" s="2" t="inlineStr">
        <is>
          <t>TRUE</t>
        </is>
      </c>
      <c r="Q187" s="2" t="inlineStr">
        <is>
          <t>refined</t>
        </is>
      </c>
      <c r="R187" s="2" t="inlineStr">
        <is>
          <t>760110</t>
        </is>
      </c>
      <c r="S187" s="2" t="inlineStr">
        <is>
          <t>operator</t>
        </is>
      </c>
      <c r="T187" s="2" t="n">
        <v>1</v>
      </c>
      <c r="U187" s="2" t="inlineStr">
        <is>
          <t>https://www.sec.gov/Archives/edgar/data/863064/000162828026009531/rio-20251231.htm</t>
        </is>
      </c>
      <c r="V187" s="2" t="inlineStr">
        <is>
          <t>RT 20-F Item 4.D Primary Aluminium FY25: RT share 315 kt (total plant 315 kt at 100.0% RT ownership). New Zealand Aluminium Smelters (NZAS). RT TOOK 100% OWNERSHIP on 1 Nov 2024 (up from 79.36%) — see risk event Row 94. Powered by Manapouri hydro. [stage normalized "smelting"-&gt;"refined" 2026-07-07: smelter output = metal (Al smelters -&gt; primary aluminum; Cu smelters at these rows integrated to cathode)]</t>
        </is>
      </c>
      <c r="W187" s="2" t="n"/>
      <c r="X187" s="2" t="n"/>
      <c r="Y187" s="2" t="n"/>
      <c r="Z187" s="2" t="n"/>
      <c r="AA187" s="0" t="inlineStr">
        <is>
          <t>primary aluminium ingot</t>
        </is>
      </c>
    </row>
    <row r="188" ht="15.75" customHeight="1" s="74">
      <c r="A188" s="2" t="inlineStr">
        <is>
          <t>Rio Tinto plc</t>
        </is>
      </c>
      <c r="B188" s="2" t="inlineStr">
        <is>
          <t>GB</t>
        </is>
      </c>
      <c r="C188" s="2" t="inlineStr">
        <is>
          <t>Tomago</t>
        </is>
      </c>
      <c r="D188" s="2" t="inlineStr">
        <is>
          <t>smelter</t>
        </is>
      </c>
      <c r="E188" s="2" t="inlineStr">
        <is>
          <t>AU</t>
        </is>
      </c>
      <c r="F188" s="2" t="inlineStr">
        <is>
          <t>New South Wales</t>
        </is>
      </c>
      <c r="G188" s="2" t="n"/>
      <c r="H188" s="2" t="n"/>
      <c r="I188" s="2" t="n"/>
      <c r="J188" s="2" t="inlineStr">
        <is>
          <t>operating</t>
        </is>
      </c>
      <c r="K188" s="2" t="inlineStr">
        <is>
          <t>Aluminum</t>
        </is>
      </c>
      <c r="L188" s="2" t="n"/>
      <c r="M188" s="2" t="n"/>
      <c r="N188" s="2" t="n">
        <v>296000</v>
      </c>
      <c r="O188" s="2" t="inlineStr">
        <is>
          <t>tonnes primary aluminium</t>
        </is>
      </c>
      <c r="P188" s="2" t="inlineStr">
        <is>
          <t>TRUE</t>
        </is>
      </c>
      <c r="Q188" s="2" t="inlineStr">
        <is>
          <t>refined</t>
        </is>
      </c>
      <c r="R188" s="2" t="inlineStr">
        <is>
          <t>760110</t>
        </is>
      </c>
      <c r="S188" s="2" t="inlineStr">
        <is>
          <t>operator</t>
        </is>
      </c>
      <c r="T188" s="2" t="n">
        <v>0.52</v>
      </c>
      <c r="U188" s="2" t="inlineStr">
        <is>
          <t>https://www.sec.gov/Archives/edgar/data/863064/000162828026009531/rio-20251231.htm</t>
        </is>
      </c>
      <c r="V188" s="2" t="inlineStr">
        <is>
          <t>RT 20-F Item 4.D Primary Aluminium FY25: RT share 296 kt (total plant 574 kt at 52.0% RT ownership). Tomago Aluminium — NSW. Rio Tinto 52% JV (with Norsk Hydro + CSR). [stage normalized "smelting"-&gt;"refined" 2026-07-07: smelter output = metal (Al smelters -&gt; primary aluminum; Cu smelters at these rows integrated to cathode)]</t>
        </is>
      </c>
      <c r="W188" s="2" t="n"/>
      <c r="X188" s="2" t="n"/>
      <c r="Y188" s="2" t="n"/>
      <c r="Z188" s="2" t="n"/>
      <c r="AA188" s="0" t="inlineStr">
        <is>
          <t>primary aluminium ingot</t>
        </is>
      </c>
    </row>
    <row r="189" ht="15.75" customHeight="1" s="74">
      <c r="A189" s="2" t="inlineStr">
        <is>
          <t>Rio Tinto plc</t>
        </is>
      </c>
      <c r="B189" s="2" t="inlineStr">
        <is>
          <t>GB</t>
        </is>
      </c>
      <c r="C189" s="2" t="inlineStr">
        <is>
          <t>Matalco</t>
        </is>
      </c>
      <c r="D189" s="2" t="inlineStr">
        <is>
          <t>processing</t>
        </is>
      </c>
      <c r="E189" s="2" t="inlineStr">
        <is>
          <t>CA</t>
        </is>
      </c>
      <c r="F189" s="2" t="inlineStr">
        <is>
          <t>Ontario</t>
        </is>
      </c>
      <c r="G189" s="2" t="n"/>
      <c r="H189" s="2" t="n"/>
      <c r="I189" s="2" t="n"/>
      <c r="J189" s="2" t="inlineStr">
        <is>
          <t>operating</t>
        </is>
      </c>
      <c r="K189" s="2" t="inlineStr">
        <is>
          <t>Aluminum</t>
        </is>
      </c>
      <c r="L189" s="2" t="n"/>
      <c r="M189" s="2" t="n"/>
      <c r="N189" s="2" t="n">
        <v>269000</v>
      </c>
      <c r="O189" s="2" t="inlineStr">
        <is>
          <t>tonnes recycled aluminium</t>
        </is>
      </c>
      <c r="P189" s="2" t="inlineStr">
        <is>
          <t>TRUE</t>
        </is>
      </c>
      <c r="Q189" s="2" t="inlineStr">
        <is>
          <t>refined</t>
        </is>
      </c>
      <c r="R189" s="2" t="inlineStr">
        <is>
          <t>760200</t>
        </is>
      </c>
      <c r="S189" s="2" t="inlineStr">
        <is>
          <t>jv_partner</t>
        </is>
      </c>
      <c r="T189" s="2" t="n">
        <v>0.5</v>
      </c>
      <c r="U189" s="2" t="inlineStr">
        <is>
          <t>https://www.sec.gov/Archives/edgar/data/863064/000162828026009531/rio-20251231.htm</t>
        </is>
      </c>
      <c r="V189" s="2" t="inlineStr">
        <is>
          <t>RT 20-F Item 4.D Recycled Al FY25: 538 kt total (RT share 269 kt at 50%). Rio Tinto acquired 50% Matalco stake (JV with Giampaolo Group) — extends into recycled aluminum. HS 7602 = aluminium waste and scrap → recycled ingot. [stage normalized "refining"-&gt;"refined" 2026-07-07: Matalco secondary (recycled) aluminum billet] [facility_type normalized "processing_plant"-&gt;"processing" 2026-07-07 per extended FacilityType enum] [OWNERSHIP TYPE FIX 2026-07-10: was 'jv_partner_non_operator' (non-operator JV) - loader enum has no operator-distinction.]</t>
        </is>
      </c>
      <c r="W189" s="2" t="n"/>
      <c r="X189" s="2" t="n"/>
      <c r="Y189" s="2" t="n"/>
      <c r="Z189" s="2" t="n"/>
      <c r="AA189" s="0" t="inlineStr">
        <is>
          <t>recycled aluminium</t>
        </is>
      </c>
    </row>
    <row r="190" ht="15.75" customHeight="1" s="74">
      <c r="A190" s="2" t="inlineStr">
        <is>
          <t>Rio Tinto plc</t>
        </is>
      </c>
      <c r="B190" s="2" t="inlineStr">
        <is>
          <t>GB</t>
        </is>
      </c>
      <c r="C190" s="2" t="inlineStr">
        <is>
          <t>Jonquière (Vaudreuil)</t>
        </is>
      </c>
      <c r="D190" s="2" t="inlineStr">
        <is>
          <t>processing</t>
        </is>
      </c>
      <c r="E190" s="2" t="inlineStr">
        <is>
          <t>CA</t>
        </is>
      </c>
      <c r="F190" s="2" t="inlineStr">
        <is>
          <t>Quebec</t>
        </is>
      </c>
      <c r="G190" s="2" t="n"/>
      <c r="H190" s="2" t="n"/>
      <c r="I190" s="2" t="n"/>
      <c r="J190" s="2" t="inlineStr">
        <is>
          <t>operating</t>
        </is>
      </c>
      <c r="K190" s="2" t="inlineStr">
        <is>
          <t>Aluminum</t>
        </is>
      </c>
      <c r="L190" s="2" t="n"/>
      <c r="M190" s="2" t="n"/>
      <c r="N190" s="2" t="n">
        <v>1370000</v>
      </c>
      <c r="O190" s="2" t="inlineStr">
        <is>
          <t>tonnes alumina (Al2O3)</t>
        </is>
      </c>
      <c r="P190" s="2" t="inlineStr">
        <is>
          <t>FALSE</t>
        </is>
      </c>
      <c r="Q190" s="2" t="inlineStr">
        <is>
          <t>intermediate</t>
        </is>
      </c>
      <c r="R190" s="2" t="inlineStr">
        <is>
          <t>281820</t>
        </is>
      </c>
      <c r="S190" s="2" t="inlineStr">
        <is>
          <t>operator</t>
        </is>
      </c>
      <c r="T190" s="2" t="n">
        <v>1</v>
      </c>
      <c r="U190" s="2" t="inlineStr">
        <is>
          <t>https://www.sec.gov/Archives/edgar/data/863064/000162828026009531/rio-20251231.htm</t>
        </is>
      </c>
      <c r="V190" s="2" t="inlineStr">
        <is>
          <t>RT 20-F Item 4.D Alumina FY25: RT share 1370 kt Al2O3 (total 1370 kt at 100.0% RT ownership). Intermediate feedstock for primary aluminium. Refines bauxite to alumina. [stage normalized "refining"-&gt;"intermediate" 2026-07-07: Vaudreuil alumina refinery - alumina is intermediate between bauxite and Al metal] [facility_type normalized "processing_plant"-&gt;"processing" 2026-07-07 per extended FacilityType enum]</t>
        </is>
      </c>
      <c r="W190" s="2" t="n"/>
      <c r="X190" s="2" t="n"/>
      <c r="Y190" s="2" t="n"/>
      <c r="Z190" s="2" t="n"/>
      <c r="AA190" s="0" t="inlineStr">
        <is>
          <t>alumina (Al2O3)</t>
        </is>
      </c>
    </row>
    <row r="191" ht="15.75" customHeight="1" s="74">
      <c r="A191" s="2" t="inlineStr">
        <is>
          <t>Rio Tinto plc</t>
        </is>
      </c>
      <c r="B191" s="2" t="inlineStr">
        <is>
          <t>GB</t>
        </is>
      </c>
      <c r="C191" s="2" t="inlineStr">
        <is>
          <t>Jonquière (Vaudreuil) specialty plant</t>
        </is>
      </c>
      <c r="D191" s="2" t="inlineStr">
        <is>
          <t>processing</t>
        </is>
      </c>
      <c r="E191" s="2" t="inlineStr">
        <is>
          <t>CA</t>
        </is>
      </c>
      <c r="F191" s="2" t="inlineStr">
        <is>
          <t>Quebec</t>
        </is>
      </c>
      <c r="G191" s="2" t="n"/>
      <c r="H191" s="2" t="n"/>
      <c r="I191" s="2" t="n"/>
      <c r="J191" s="2" t="inlineStr">
        <is>
          <t>operating</t>
        </is>
      </c>
      <c r="K191" s="2" t="inlineStr">
        <is>
          <t>Aluminum</t>
        </is>
      </c>
      <c r="L191" s="2" t="n"/>
      <c r="M191" s="2" t="n"/>
      <c r="N191" s="2" t="n">
        <v>110000</v>
      </c>
      <c r="O191" s="2" t="inlineStr">
        <is>
          <t>tonnes alumina (Al2O3)</t>
        </is>
      </c>
      <c r="P191" s="2" t="inlineStr">
        <is>
          <t>FALSE</t>
        </is>
      </c>
      <c r="Q191" s="2" t="inlineStr">
        <is>
          <t>intermediate</t>
        </is>
      </c>
      <c r="R191" s="2" t="inlineStr">
        <is>
          <t>281820</t>
        </is>
      </c>
      <c r="S191" s="2" t="inlineStr">
        <is>
          <t>operator</t>
        </is>
      </c>
      <c r="T191" s="2" t="n">
        <v>1</v>
      </c>
      <c r="U191" s="2" t="inlineStr">
        <is>
          <t>https://www.sec.gov/Archives/edgar/data/863064/000162828026009531/rio-20251231.htm</t>
        </is>
      </c>
      <c r="V191" s="2" t="inlineStr">
        <is>
          <t>RT 20-F Item 4.D Alumina FY25: RT share 110 kt Al2O3 (total 110 kt at 100.0% RT ownership). Intermediate feedstock for primary aluminium. Specialty alumina products. [stage normalized "refining"-&gt;"intermediate" 2026-07-07: specialty alumina plant] [facility_type normalized "processing_plant"-&gt;"processing" 2026-07-07 per extended FacilityType enum]</t>
        </is>
      </c>
      <c r="W191" s="2" t="n"/>
      <c r="X191" s="2" t="n"/>
      <c r="Y191" s="2" t="n"/>
      <c r="Z191" s="2" t="n"/>
      <c r="AA191" s="0" t="inlineStr">
        <is>
          <t>alumina (Al2O3)</t>
        </is>
      </c>
    </row>
    <row r="192" ht="15.75" customHeight="1" s="74">
      <c r="A192" s="2" t="inlineStr">
        <is>
          <t>Rio Tinto plc</t>
        </is>
      </c>
      <c r="B192" s="2" t="inlineStr">
        <is>
          <t>GB</t>
        </is>
      </c>
      <c r="C192" s="2" t="inlineStr">
        <is>
          <t>Queensland Alumina</t>
        </is>
      </c>
      <c r="D192" s="2" t="inlineStr">
        <is>
          <t>processing</t>
        </is>
      </c>
      <c r="E192" s="2" t="inlineStr">
        <is>
          <t>AU</t>
        </is>
      </c>
      <c r="F192" s="2" t="inlineStr">
        <is>
          <t>Queensland</t>
        </is>
      </c>
      <c r="G192" s="2" t="n"/>
      <c r="H192" s="2" t="n"/>
      <c r="I192" s="2" t="n"/>
      <c r="J192" s="2" t="inlineStr">
        <is>
          <t>operating</t>
        </is>
      </c>
      <c r="K192" s="2" t="inlineStr">
        <is>
          <t>Aluminum</t>
        </is>
      </c>
      <c r="L192" s="2" t="n"/>
      <c r="M192" s="2" t="n"/>
      <c r="N192" s="2" t="n">
        <v>2791000</v>
      </c>
      <c r="O192" s="2" t="inlineStr">
        <is>
          <t>tonnes alumina (Al2O3)</t>
        </is>
      </c>
      <c r="P192" s="2" t="inlineStr">
        <is>
          <t>FALSE</t>
        </is>
      </c>
      <c r="Q192" s="2" t="inlineStr">
        <is>
          <t>intermediate</t>
        </is>
      </c>
      <c r="R192" s="2" t="inlineStr">
        <is>
          <t>281820</t>
        </is>
      </c>
      <c r="S192" s="2" t="inlineStr">
        <is>
          <t>operator</t>
        </is>
      </c>
      <c r="T192" s="2" t="n">
        <v>0.8</v>
      </c>
      <c r="U192" s="2" t="inlineStr">
        <is>
          <t>https://www.sec.gov/Archives/edgar/data/863064/000162828026009531/rio-20251231.htm</t>
        </is>
      </c>
      <c r="V192" s="2" t="inlineStr">
        <is>
          <t>RT 20-F Item 4.D Alumina FY25: RT share 2791 kt Al2O3 (total 3488 kt at 80.0% RT ownership). Intermediate feedstock for primary aluminium. Gladstone refinery. Rio Tinto 80% + Rusal 20% (historical Russian participation). [stage normalized "refining"-&gt;"intermediate" 2026-07-07: QAL alumina refinery] [facility_type normalized "processing_plant"-&gt;"processing" 2026-07-07 per extended FacilityType enum]</t>
        </is>
      </c>
      <c r="W192" s="2" t="n"/>
      <c r="X192" s="2" t="n"/>
      <c r="Y192" s="2" t="n"/>
      <c r="Z192" s="2" t="n"/>
      <c r="AA192" s="0" t="inlineStr">
        <is>
          <t>alumina (Al2O3)</t>
        </is>
      </c>
    </row>
    <row r="193" ht="15.75" customHeight="1" s="74">
      <c r="A193" s="2" t="inlineStr">
        <is>
          <t>Rio Tinto plc</t>
        </is>
      </c>
      <c r="B193" s="2" t="inlineStr">
        <is>
          <t>GB</t>
        </is>
      </c>
      <c r="C193" s="2" t="inlineStr">
        <is>
          <t>São Luis (Alumar)</t>
        </is>
      </c>
      <c r="D193" s="2" t="inlineStr">
        <is>
          <t>processing</t>
        </is>
      </c>
      <c r="E193" s="2" t="inlineStr">
        <is>
          <t>BR</t>
        </is>
      </c>
      <c r="F193" s="2" t="inlineStr">
        <is>
          <t>Maranhão</t>
        </is>
      </c>
      <c r="G193" s="2" t="n"/>
      <c r="H193" s="2" t="n"/>
      <c r="I193" s="2" t="n"/>
      <c r="J193" s="2" t="inlineStr">
        <is>
          <t>operating</t>
        </is>
      </c>
      <c r="K193" s="2" t="inlineStr">
        <is>
          <t>Aluminum</t>
        </is>
      </c>
      <c r="L193" s="2" t="n"/>
      <c r="M193" s="2" t="n"/>
      <c r="N193" s="2" t="n">
        <v>380000</v>
      </c>
      <c r="O193" s="2" t="inlineStr">
        <is>
          <t>tonnes alumina (Al2O3)</t>
        </is>
      </c>
      <c r="P193" s="2" t="inlineStr">
        <is>
          <t>FALSE</t>
        </is>
      </c>
      <c r="Q193" s="2" t="inlineStr">
        <is>
          <t>intermediate</t>
        </is>
      </c>
      <c r="R193" s="2" t="inlineStr">
        <is>
          <t>281820</t>
        </is>
      </c>
      <c r="S193" s="2" t="inlineStr">
        <is>
          <t>jv_partner</t>
        </is>
      </c>
      <c r="T193" s="2" t="n">
        <v>0.1</v>
      </c>
      <c r="U193" s="2" t="inlineStr">
        <is>
          <t>https://www.sec.gov/Archives/edgar/data/863064/000162828026009531/rio-20251231.htm</t>
        </is>
      </c>
      <c r="V193" s="2" t="inlineStr">
        <is>
          <t>RT 20-F Item 4.D Alumina FY25: RT share 380 kt Al2O3 (total 3796 kt at 10.0% RT ownership). Intermediate feedstock for primary aluminium. Brazil refinery. Rio Tinto minority 10%. Alcoa operator. [stage normalized "refining"-&gt;"intermediate" 2026-07-07: Alumar alumina refinery] [facility_type normalized "processing_plant"-&gt;"processing" 2026-07-07 per extended FacilityType enum] [OWNERSHIP TYPE FIX 2026-07-10: was 'jv_partner_non_operator' (non-operator JV) - loader enum has no operator-distinction.]</t>
        </is>
      </c>
      <c r="W193" s="2" t="n"/>
      <c r="X193" s="2" t="n"/>
      <c r="Y193" s="2" t="n"/>
      <c r="Z193" s="2" t="n"/>
      <c r="AA193" s="0" t="inlineStr">
        <is>
          <t>alumina (Al2O3)</t>
        </is>
      </c>
    </row>
    <row r="194" ht="15.75" customHeight="1" s="74">
      <c r="A194" s="2" t="inlineStr">
        <is>
          <t>Rio Tinto plc</t>
        </is>
      </c>
      <c r="B194" s="2" t="inlineStr">
        <is>
          <t>GB</t>
        </is>
      </c>
      <c r="C194" s="2" t="inlineStr">
        <is>
          <t>Yarwun</t>
        </is>
      </c>
      <c r="D194" s="2" t="inlineStr">
        <is>
          <t>processing</t>
        </is>
      </c>
      <c r="E194" s="2" t="inlineStr">
        <is>
          <t>AU</t>
        </is>
      </c>
      <c r="F194" s="2" t="inlineStr">
        <is>
          <t>Queensland</t>
        </is>
      </c>
      <c r="G194" s="2" t="n"/>
      <c r="H194" s="2" t="n"/>
      <c r="I194" s="2" t="n"/>
      <c r="J194" s="2" t="inlineStr">
        <is>
          <t>operating</t>
        </is>
      </c>
      <c r="K194" s="2" t="inlineStr">
        <is>
          <t>Aluminum</t>
        </is>
      </c>
      <c r="L194" s="2" t="n"/>
      <c r="M194" s="2" t="n"/>
      <c r="N194" s="2" t="n">
        <v>2943000</v>
      </c>
      <c r="O194" s="2" t="inlineStr">
        <is>
          <t>tonnes alumina (Al2O3)</t>
        </is>
      </c>
      <c r="P194" s="2" t="inlineStr">
        <is>
          <t>FALSE</t>
        </is>
      </c>
      <c r="Q194" s="2" t="inlineStr">
        <is>
          <t>intermediate</t>
        </is>
      </c>
      <c r="R194" s="2" t="inlineStr">
        <is>
          <t>281820</t>
        </is>
      </c>
      <c r="S194" s="2" t="inlineStr">
        <is>
          <t>operator</t>
        </is>
      </c>
      <c r="T194" s="2" t="n">
        <v>1</v>
      </c>
      <c r="U194" s="2" t="inlineStr">
        <is>
          <t>https://www.sec.gov/Archives/edgar/data/863064/000162828026009531/rio-20251231.htm</t>
        </is>
      </c>
      <c r="V194" s="2" t="inlineStr">
        <is>
          <t>RT 20-F Item 4.D Alumina FY25: RT share 2943 kt Al2O3 (total 2943 kt at 100.0% RT ownership). Intermediate feedstock for primary aluminium. Gladstone-adjacent refinery. Rio Tinto 100%. [stage normalized "refining"-&gt;"intermediate" 2026-07-07: Yarwun alumina refinery] [facility_type normalized "processing_plant"-&gt;"processing" 2026-07-07 per extended FacilityType enum]</t>
        </is>
      </c>
      <c r="W194" s="2" t="n"/>
      <c r="X194" s="2" t="n"/>
      <c r="Y194" s="2" t="n"/>
      <c r="Z194" s="2" t="n"/>
      <c r="AA194" s="0" t="inlineStr">
        <is>
          <t>alumina (Al2O3)</t>
        </is>
      </c>
    </row>
    <row r="195" ht="15.75" customHeight="1" s="74">
      <c r="A195" s="2" t="inlineStr">
        <is>
          <t>Rio Tinto plc</t>
        </is>
      </c>
      <c r="B195" s="2" t="inlineStr">
        <is>
          <t>GB</t>
        </is>
      </c>
      <c r="C195" s="2" t="inlineStr">
        <is>
          <t>Gove</t>
        </is>
      </c>
      <c r="D195" s="2" t="inlineStr">
        <is>
          <t>mine</t>
        </is>
      </c>
      <c r="E195" s="2" t="inlineStr">
        <is>
          <t>AU</t>
        </is>
      </c>
      <c r="F195" s="2" t="inlineStr">
        <is>
          <t>Northern Territory</t>
        </is>
      </c>
      <c r="G195" s="2" t="n"/>
      <c r="H195" s="2" t="n"/>
      <c r="I195" s="2" t="n"/>
      <c r="J195" s="2" t="inlineStr">
        <is>
          <t>operating</t>
        </is>
      </c>
      <c r="K195" s="2" t="inlineStr">
        <is>
          <t>Aluminum</t>
        </is>
      </c>
      <c r="L195" s="2" t="n"/>
      <c r="M195" s="2" t="n"/>
      <c r="N195" s="2" t="n">
        <v>12729000</v>
      </c>
      <c r="O195" s="2" t="inlineStr">
        <is>
          <t>tonnes bauxite</t>
        </is>
      </c>
      <c r="P195" s="2" t="inlineStr">
        <is>
          <t>TRUE</t>
        </is>
      </c>
      <c r="Q195" s="2" t="inlineStr">
        <is>
          <t>ore</t>
        </is>
      </c>
      <c r="R195" s="2" t="inlineStr">
        <is>
          <t>260600</t>
        </is>
      </c>
      <c r="S195" s="2" t="inlineStr">
        <is>
          <t>operator</t>
        </is>
      </c>
      <c r="T195" s="2" t="n">
        <v>1</v>
      </c>
      <c r="U195" s="2" t="inlineStr">
        <is>
          <t>https://www.sec.gov/Archives/edgar/data/863064/000162828026009531/rio-20251231.htm</t>
        </is>
      </c>
      <c r="V195" s="2" t="inlineStr">
        <is>
          <t>RT 20-F Item 4.D Bauxite FY25: RT share 12729 kt bauxite (total 12729 kt at 100.0% RT ownership). Feedstock for alumina refining. Nhulunbuy — hydro-powered. *** RT 20-F Item 1300 Bauxite Reserves: 40 Mt @ 50.1% Al2O3 / 6.7% SiO2 (down from 48 Mt FY24). Reserves decline due to mining depletion. Weipa/Gove combined 1,161 Mt bauxite reserves.</t>
        </is>
      </c>
      <c r="W195" s="2" t="n"/>
      <c r="X195" s="2" t="inlineStr">
        <is>
          <t>open_pit</t>
        </is>
      </c>
      <c r="Y195" s="2" t="n"/>
      <c r="Z195" s="2" t="n"/>
      <c r="AA195" s="0" t="inlineStr">
        <is>
          <t>bauxite ore</t>
        </is>
      </c>
    </row>
    <row r="196" ht="15.75" customHeight="1" s="74">
      <c r="A196" s="2" t="inlineStr">
        <is>
          <t>Rio Tinto plc</t>
        </is>
      </c>
      <c r="B196" s="2" t="inlineStr">
        <is>
          <t>GB</t>
        </is>
      </c>
      <c r="C196" s="2" t="inlineStr">
        <is>
          <t>Porto Trombetas (MRN)</t>
        </is>
      </c>
      <c r="D196" s="2" t="inlineStr">
        <is>
          <t>mine</t>
        </is>
      </c>
      <c r="E196" s="2" t="inlineStr">
        <is>
          <t>BR</t>
        </is>
      </c>
      <c r="F196" s="2" t="inlineStr">
        <is>
          <t>Pará</t>
        </is>
      </c>
      <c r="G196" s="2" t="n"/>
      <c r="H196" s="2" t="n"/>
      <c r="I196" s="2" t="n"/>
      <c r="J196" s="2" t="inlineStr">
        <is>
          <t>operating</t>
        </is>
      </c>
      <c r="K196" s="2" t="inlineStr">
        <is>
          <t>Aluminum</t>
        </is>
      </c>
      <c r="L196" s="2" t="n"/>
      <c r="M196" s="2" t="n"/>
      <c r="N196" s="2" t="n">
        <v>2543000</v>
      </c>
      <c r="O196" s="2" t="inlineStr">
        <is>
          <t>tonnes bauxite</t>
        </is>
      </c>
      <c r="P196" s="2" t="inlineStr">
        <is>
          <t>TRUE</t>
        </is>
      </c>
      <c r="Q196" s="2" t="inlineStr">
        <is>
          <t>ore</t>
        </is>
      </c>
      <c r="R196" s="2" t="inlineStr">
        <is>
          <t>260600</t>
        </is>
      </c>
      <c r="S196" s="2" t="inlineStr">
        <is>
          <t>jv_partner</t>
        </is>
      </c>
      <c r="T196" s="2" t="n">
        <v>0.22</v>
      </c>
      <c r="U196" s="2" t="inlineStr">
        <is>
          <t>https://www.sec.gov/Archives/edgar/data/863064/000162828026009531/rio-20251231.htm</t>
        </is>
      </c>
      <c r="V196" s="2" t="inlineStr">
        <is>
          <t>RT 20-F Item 4.D Bauxite FY25: RT share 2543 kt bauxite (total 11560 kt at 22.0% RT ownership). Feedstock for alumina refining. Amazon bauxite mine. Rio Tinto 22% via Mineração Rio do Norte. [OWNERSHIP TYPE FIX 2026-07-10: was 'jv_partner_non_operator' (non-operator JV) - loader enum has no operator-distinction.]</t>
        </is>
      </c>
      <c r="W196" s="2" t="n"/>
      <c r="X196" s="2" t="inlineStr">
        <is>
          <t>open_pit</t>
        </is>
      </c>
      <c r="Y196" s="2" t="n"/>
      <c r="Z196" s="2" t="n"/>
      <c r="AA196" s="0" t="inlineStr">
        <is>
          <t>bauxite ore</t>
        </is>
      </c>
    </row>
    <row r="197" ht="15.75" customHeight="1" s="74">
      <c r="A197" s="2" t="inlineStr">
        <is>
          <t>Rio Tinto plc</t>
        </is>
      </c>
      <c r="B197" s="2" t="inlineStr">
        <is>
          <t>GB</t>
        </is>
      </c>
      <c r="C197" s="2" t="inlineStr">
        <is>
          <t>Sangaredi</t>
        </is>
      </c>
      <c r="D197" s="2" t="inlineStr">
        <is>
          <t>mine</t>
        </is>
      </c>
      <c r="E197" s="2" t="inlineStr">
        <is>
          <t>GN</t>
        </is>
      </c>
      <c r="F197" s="2" t="inlineStr">
        <is>
          <t>Boké</t>
        </is>
      </c>
      <c r="G197" s="2" t="n"/>
      <c r="H197" s="2" t="n"/>
      <c r="I197" s="2" t="n"/>
      <c r="J197" s="2" t="inlineStr">
        <is>
          <t>operating</t>
        </is>
      </c>
      <c r="K197" s="2" t="inlineStr">
        <is>
          <t>Aluminum</t>
        </is>
      </c>
      <c r="L197" s="2" t="n"/>
      <c r="M197" s="2" t="n"/>
      <c r="N197" s="2" t="n">
        <v>7665000</v>
      </c>
      <c r="O197" s="2" t="inlineStr">
        <is>
          <t>tonnes bauxite</t>
        </is>
      </c>
      <c r="P197" s="2" t="inlineStr">
        <is>
          <t>TRUE</t>
        </is>
      </c>
      <c r="Q197" s="2" t="inlineStr">
        <is>
          <t>ore</t>
        </is>
      </c>
      <c r="R197" s="2" t="inlineStr">
        <is>
          <t>260600</t>
        </is>
      </c>
      <c r="S197" s="2" t="inlineStr">
        <is>
          <t>jv_partner</t>
        </is>
      </c>
      <c r="T197" s="2" t="n">
        <v>0.2295</v>
      </c>
      <c r="U197" s="2" t="inlineStr">
        <is>
          <t>https://www.sec.gov/Archives/edgar/data/863064/000162828026009531/rio-20251231.htm</t>
        </is>
      </c>
      <c r="V197" s="2" t="inlineStr">
        <is>
          <t>RT 20-F Item 4.D Bauxite FY25: RT share 7665 kt bauxite (total 17032 kt at 22.95% RT ownership). Feedstock for alumina refining. Compagnie des Bauxites de Guinée (CBG). RT 22.95% shareholding but 45% of production benefit. *** RT 20-F Item 1300 Bauxite Reserves (Compagnie des Bauxites de Guinée / CBG): 44 Mt @ 22.95% share + 82 Mt @ 23% share = 126 Mt combined recognized to Rio Tinto. RT ownership 22.95% shareholding but 45% of production benefit. Reserves reported at 3% moisture basis. Guinea location; adjacent to Simandou logistics infrastructure development. [OWNERSHIP TYPE FIX 2026-07-10: was 'jv_partner_non_operator' (non-operator JV) - loader enum has no operator-distinction.]</t>
        </is>
      </c>
      <c r="W197" s="2" t="n"/>
      <c r="X197" s="2" t="inlineStr">
        <is>
          <t>open_pit</t>
        </is>
      </c>
      <c r="Y197" s="2" t="n"/>
      <c r="Z197" s="2" t="n"/>
      <c r="AA197" s="0" t="inlineStr">
        <is>
          <t>bauxite ore</t>
        </is>
      </c>
    </row>
    <row r="198" ht="15.75" customHeight="1" s="74">
      <c r="A198" s="2" t="inlineStr">
        <is>
          <t>Rio Tinto plc</t>
        </is>
      </c>
      <c r="B198" s="2" t="inlineStr">
        <is>
          <t>GB</t>
        </is>
      </c>
      <c r="C198" s="2" t="inlineStr">
        <is>
          <t>Weipa</t>
        </is>
      </c>
      <c r="D198" s="2" t="inlineStr">
        <is>
          <t>mine</t>
        </is>
      </c>
      <c r="E198" s="2" t="inlineStr">
        <is>
          <t>AU</t>
        </is>
      </c>
      <c r="F198" s="2" t="inlineStr">
        <is>
          <t>Queensland</t>
        </is>
      </c>
      <c r="G198" s="2" t="n"/>
      <c r="H198" s="2" t="n"/>
      <c r="I198" s="2" t="n"/>
      <c r="J198" s="2" t="inlineStr">
        <is>
          <t>operating</t>
        </is>
      </c>
      <c r="K198" s="2" t="inlineStr">
        <is>
          <t>Aluminum</t>
        </is>
      </c>
      <c r="L198" s="2" t="n"/>
      <c r="M198" s="2" t="n"/>
      <c r="N198" s="2" t="n">
        <v>39464000</v>
      </c>
      <c r="O198" s="2" t="inlineStr">
        <is>
          <t>tonnes bauxite</t>
        </is>
      </c>
      <c r="P198" s="2" t="inlineStr">
        <is>
          <t>TRUE</t>
        </is>
      </c>
      <c r="Q198" s="2" t="inlineStr">
        <is>
          <t>ore</t>
        </is>
      </c>
      <c r="R198" s="2" t="inlineStr">
        <is>
          <t>260600</t>
        </is>
      </c>
      <c r="S198" s="2" t="inlineStr">
        <is>
          <t>operator</t>
        </is>
      </c>
      <c r="T198" s="2" t="n">
        <v>1</v>
      </c>
      <c r="U198" s="2" t="inlineStr">
        <is>
          <t>https://www.sec.gov/Archives/edgar/data/863064/000162828026009531/rio-20251231.htm</t>
        </is>
      </c>
      <c r="V198" s="2" t="inlineStr">
        <is>
          <t>RT 20-F Item 4.D Bauxite FY25: RT share 39464 kt bauxite (total 39464 kt at 100.0% RT ownership). Feedstock for alumina refining. Far North Queensland. RT 100%. FY25 RECORD BAUXITE PRODUCTION 39,464 kt (up from 37,078 kt FY24) enabled by Safe Production System. AMRUN / KANGWINAN EXPANSION announced May 2025 (see risk event Row 91) — new mine + port expansion to almost double bauxite production from Weipa Southern operations. *** RT 20-F Item 1300 Bauxite Reserves (as at 31 Dec 2025): AMRUN 1,076 Mt @ 54.2% Al2O3 / 9.1% SiO2 (RT 100%, unchanged from FY24 1,076 Mt but pricing recalibrated). WEIPA (Andoom + Gove combined) 40+45 = 85 Mt (down from ~104 Mt FY24 due to mining depletion + East Weipa mining ceased 2024). Total Weipa complex 1,161 Mt @ 53.9% Al2O3. AMRUN / KANGWINAN expansion approved May 2025 (see Row 91) will nearly double bauxite production from Weipa Southern operations. FY25 production RECORD 39,464 kt (up from 37,078 kt FY24). Reserve pricing basis US$39.11/t FOB (JV-partner supplied). Material property per Item 1304.</t>
        </is>
      </c>
      <c r="W198" s="2" t="n"/>
      <c r="X198" s="2" t="inlineStr">
        <is>
          <t>open_pit</t>
        </is>
      </c>
      <c r="Y198" s="2" t="n"/>
      <c r="Z198" s="2" t="n"/>
      <c r="AA198" s="0" t="inlineStr">
        <is>
          <t>bauxite ore</t>
        </is>
      </c>
    </row>
    <row r="199" ht="15.75" customHeight="1" s="74">
      <c r="A199" s="2" t="inlineStr">
        <is>
          <t>Rio Tinto plc</t>
        </is>
      </c>
      <c r="B199" s="2" t="inlineStr">
        <is>
          <t>GB</t>
        </is>
      </c>
      <c r="C199" s="2" t="inlineStr">
        <is>
          <t>Bingham Canyon</t>
        </is>
      </c>
      <c r="D199" s="2" t="inlineStr">
        <is>
          <t>mine</t>
        </is>
      </c>
      <c r="E199" s="2" t="inlineStr">
        <is>
          <t>US</t>
        </is>
      </c>
      <c r="F199" s="2" t="inlineStr">
        <is>
          <t>Utah</t>
        </is>
      </c>
      <c r="G199" s="2" t="inlineStr">
        <is>
          <t>Salt Lake County</t>
        </is>
      </c>
      <c r="H199" s="2" t="n"/>
      <c r="I199" s="2" t="n"/>
      <c r="J199" s="2" t="inlineStr">
        <is>
          <t>operating</t>
        </is>
      </c>
      <c r="K199" s="2" t="inlineStr">
        <is>
          <t>Copper</t>
        </is>
      </c>
      <c r="L199" s="2" t="n"/>
      <c r="M199" s="2" t="n"/>
      <c r="N199" s="2" t="n">
        <v>125000</v>
      </c>
      <c r="O199" s="2" t="inlineStr">
        <is>
          <t>tonnes Cu (mine production)</t>
        </is>
      </c>
      <c r="P199" s="2" t="inlineStr">
        <is>
          <t>TRUE</t>
        </is>
      </c>
      <c r="Q199" s="2" t="inlineStr">
        <is>
          <t>ore</t>
        </is>
      </c>
      <c r="R199" s="2" t="inlineStr">
        <is>
          <t>260300</t>
        </is>
      </c>
      <c r="S199" s="2" t="inlineStr">
        <is>
          <t>operator</t>
        </is>
      </c>
      <c r="T199" s="2" t="n">
        <v>1</v>
      </c>
      <c r="U199" s="2" t="inlineStr">
        <is>
          <t>https://www.sec.gov/Archives/edgar/data/863064/000162828026009531/rio-20251231.htm</t>
        </is>
      </c>
      <c r="V199" s="2" t="inlineStr">
        <is>
          <t>RT 20-F Item 4.D Copper FY25: 125 kt Cu mine production (RT 100%). Also 134 kt refined Cu at Kennecott smelter/refinery (-31% YoY due to PLANNED SMELTER SHUTDOWN — see risk event Row 84). Kennecott byproducts FY25: 117 koz gold (refined), 1,838 koz silver (refined), 5.1 kt molybdenum (+96% YoY). Also processed 39 kt cathode from purchased concentrate FY25. Geotechnical constraints limiting ore access until 2027 Slice 2. *** NUTON® TECHNOLOGY: First commercial copper produced in US in November 2025 (see risk event Row 89) — RT proprietary leaching tech. *** RT 20-F Item 1300 SK-1300 Reserves (as at 31 Dec 2025, RT 100%): Total Cu reserves 730 Mt @ 0.36% Cu + 0.18 g/t Au + 1.96 g/t Ag + 0.030% Mo. RT SHARE RECOVERABLE METAL: 2.35 Mt Cu + 2.94 Moz Au + 32.68 Moz Ag + 0.144 Mt Mo. Mill recoveries 88%/69%/71%/65% (Cu/Au/Ag/Mo). Reserve pricing basis: US$4.21/lb Cu, US$2,367/oz Au, US$26.65/oz Ag, US$12.78/lb Mo (10-broker + 2-analyst avg). Includes Bingham Open Pit + stockpile material. Prior FY24 reserves 777 Mt. Material property per Item 1304 of S-K 1300.</t>
        </is>
      </c>
      <c r="W199" s="2" t="n"/>
      <c r="X199" s="2" t="inlineStr">
        <is>
          <t>open_pit</t>
        </is>
      </c>
      <c r="Y199" s="2" t="n"/>
      <c r="Z199" s="2" t="n"/>
      <c r="AA199" s="0" t="inlineStr">
        <is>
          <t>copper concentrate + cathode + Au + Ag + Mo byproducts</t>
        </is>
      </c>
    </row>
    <row r="200" ht="15.75" customHeight="1" s="74">
      <c r="A200" s="2" t="inlineStr">
        <is>
          <t>Rio Tinto plc</t>
        </is>
      </c>
      <c r="B200" s="2" t="inlineStr">
        <is>
          <t>GB</t>
        </is>
      </c>
      <c r="C200" s="2" t="inlineStr">
        <is>
          <t>Kennecott Smelter</t>
        </is>
      </c>
      <c r="D200" s="2" t="inlineStr">
        <is>
          <t>processing</t>
        </is>
      </c>
      <c r="E200" s="2" t="inlineStr">
        <is>
          <t>US</t>
        </is>
      </c>
      <c r="F200" s="2" t="inlineStr">
        <is>
          <t>Utah</t>
        </is>
      </c>
      <c r="G200" s="2" t="inlineStr">
        <is>
          <t>Salt Lake County</t>
        </is>
      </c>
      <c r="H200" s="2" t="n"/>
      <c r="I200" s="2" t="n"/>
      <c r="J200" s="2" t="inlineStr">
        <is>
          <t>operating</t>
        </is>
      </c>
      <c r="K200" s="2" t="inlineStr">
        <is>
          <t>Copper</t>
        </is>
      </c>
      <c r="L200" s="2" t="n"/>
      <c r="M200" s="2" t="n"/>
      <c r="N200" s="2" t="n">
        <v>134000</v>
      </c>
      <c r="O200" s="2" t="inlineStr">
        <is>
          <t>tonnes refined Cu</t>
        </is>
      </c>
      <c r="P200" s="2" t="inlineStr">
        <is>
          <t>TRUE</t>
        </is>
      </c>
      <c r="Q200" s="2" t="inlineStr">
        <is>
          <t>refined</t>
        </is>
      </c>
      <c r="R200" s="2" t="inlineStr">
        <is>
          <t>740311</t>
        </is>
      </c>
      <c r="S200" s="2" t="inlineStr">
        <is>
          <t>operator</t>
        </is>
      </c>
      <c r="T200" s="2" t="n">
        <v>1</v>
      </c>
      <c r="U200" s="2" t="inlineStr">
        <is>
          <t>https://www.sec.gov/Archives/edgar/data/863064/000162828026009531/rio-20251231.htm</t>
        </is>
      </c>
      <c r="V200" s="2" t="inlineStr">
        <is>
          <t>RT 20-F Item 4.D Copper FY25: 134 kt refined Cu (down 31% YoY from 193 kt due to planned smelter shutdown 2025). Integrated with Bingham Canyon mine. Rio Tinto 100%. Also refined gold + silver + Mo byproducts. Purchased and tolled Cu concentrate excluded from reported production figures. *** RT 20-F Item 1300 Cu Reserves: Kennecott smelter is the downstream refining operation processing Bingham Canyon concentrate. Reserves reported at Bingham Canyon (see that row). Kennecott individual property TRS filed as Exhibit 96.x. [stage normalized "refining"-&gt;"refined" 2026-07-07: Kennecott integrated smelter+refinery, sells cathode] [facility_type normalized "processing_plant"-&gt;"processing" 2026-07-07 per extended FacilityType enum]</t>
        </is>
      </c>
      <c r="W200" s="2" t="n"/>
      <c r="X200" s="2" t="n"/>
      <c r="Y200" s="2" t="n"/>
      <c r="Z200" s="2" t="n"/>
      <c r="AA200" s="0" t="inlineStr">
        <is>
          <t>refined copper cathode + Au + Ag byproducts</t>
        </is>
      </c>
    </row>
    <row r="201" ht="15.75" customHeight="1" s="74">
      <c r="A201" s="2" t="inlineStr">
        <is>
          <t>Rio Tinto plc</t>
        </is>
      </c>
      <c r="B201" s="2" t="inlineStr">
        <is>
          <t>GB</t>
        </is>
      </c>
      <c r="C201" s="2" t="inlineStr">
        <is>
          <t>Oyu Tolgoi</t>
        </is>
      </c>
      <c r="D201" s="2" t="inlineStr">
        <is>
          <t>mine</t>
        </is>
      </c>
      <c r="E201" s="2" t="inlineStr">
        <is>
          <t>MN</t>
        </is>
      </c>
      <c r="F201" s="2" t="inlineStr">
        <is>
          <t>South Gobi</t>
        </is>
      </c>
      <c r="G201" s="2" t="inlineStr">
        <is>
          <t>Khanbogd</t>
        </is>
      </c>
      <c r="H201" s="2" t="n"/>
      <c r="I201" s="2" t="n"/>
      <c r="J201" s="2" t="inlineStr">
        <is>
          <t>operating</t>
        </is>
      </c>
      <c r="K201" s="2" t="inlineStr">
        <is>
          <t>Copper</t>
        </is>
      </c>
      <c r="L201" s="2" t="n"/>
      <c r="M201" s="2" t="n"/>
      <c r="N201" s="2" t="n">
        <v>228000</v>
      </c>
      <c r="O201" s="2" t="inlineStr">
        <is>
          <t>tonnes Cu (RT share)</t>
        </is>
      </c>
      <c r="P201" s="2" t="inlineStr">
        <is>
          <t>TRUE</t>
        </is>
      </c>
      <c r="Q201" s="2" t="inlineStr">
        <is>
          <t>ore</t>
        </is>
      </c>
      <c r="R201" s="2" t="inlineStr">
        <is>
          <t>260300</t>
        </is>
      </c>
      <c r="S201" s="2" t="inlineStr">
        <is>
          <t>jv_partner</t>
        </is>
      </c>
      <c r="T201" s="2" t="n">
        <v>0.66</v>
      </c>
      <c r="U201" s="2" t="inlineStr">
        <is>
          <t>https://www.sec.gov/Archives/edgar/data/863064/000162828026009531/rio-20251231.htm</t>
        </is>
      </c>
      <c r="V201" s="2" t="inlineStr">
        <is>
          <t>RT 20-F Item 4.D Copper FY25: 345 kt Cu total (RT share 228 kt at 66%; Erdenes Oyu Tolgoi LLC 34% Mongolian government). *** RECORD PRODUCTION +61% YoY as UNDERGROUND RAMP-UP ADVANCED (see risk event Row 85). Drove Group Cu +11% YoY. Underground material-handling system + all major infrastructure complete FY25. Rising contribution from higher-grade underground material via conveyor to surface. Also 300.9 koz gold + 1,439 koz silver (RT share). Underground orebody comparable in size to Manhattan (per Chair statement). *** POST-BALANCE-DATE: On 11 Feb 2026, Oyu Tolgoi LLC received US$440M tax assessments from Mongolian Tax Authority for FY21+FY22 tax years (see risk event Row 82). Rio Tinto disputes; no provision recognized. *** RT 20-F Item 1300 Cu Reserves (RT 66% share): Underground Reserves at Hugo Dummett North ~1.2 Mt stockpiled @ 0.48% Cu + 0.14 g/t Au + 1.18 g/t Ag (2025 addition). Reserve pricing basis: US$4.00/lb Cu, US$1,693/oz Au, US$22.73/oz Ag (10-broker + 2-analyst avg June 2024 escalated to 2025). Underground (Hugo Dummett North/South) + Open Pit reserves. Material property per Item 1304. FY24 vs FY25 reserves substantially unchanged reflecting record production from new underground ore access. [OWNERSHIP TYPE FIX 2026-07-10: was 'jv_partner_operator' (operator-side JV) - loader enum has no operator-distinction.]</t>
        </is>
      </c>
      <c r="W201" s="2" t="n"/>
      <c r="X201" s="2" t="inlineStr">
        <is>
          <t>underground</t>
        </is>
      </c>
      <c r="Y201" s="2" t="n"/>
      <c r="Z201" s="2" t="n"/>
      <c r="AA201" s="0" t="inlineStr">
        <is>
          <t>copper concentrate + Au + Ag byproducts</t>
        </is>
      </c>
    </row>
    <row r="202" ht="15.75" customHeight="1" s="74">
      <c r="A202" s="2" t="inlineStr">
        <is>
          <t>Sociedad Química y Minera de Chile S.A.</t>
        </is>
      </c>
      <c r="B202" s="2" t="inlineStr">
        <is>
          <t>CL</t>
        </is>
      </c>
      <c r="C202" s="2" t="inlineStr">
        <is>
          <t>Salar del Carmen (SQM Lithium Chemicals)</t>
        </is>
      </c>
      <c r="D202" s="2" t="inlineStr">
        <is>
          <t>processing</t>
        </is>
      </c>
      <c r="E202" s="2" t="inlineStr">
        <is>
          <t>CL</t>
        </is>
      </c>
      <c r="F202" s="2" t="inlineStr">
        <is>
          <t>Antofagasta</t>
        </is>
      </c>
      <c r="G202" s="2" t="inlineStr">
        <is>
          <t>Antofagasta</t>
        </is>
      </c>
      <c r="H202" s="2" t="n"/>
      <c r="I202" s="2" t="n"/>
      <c r="J202" s="2" t="inlineStr">
        <is>
          <t>operating</t>
        </is>
      </c>
      <c r="K202" s="2" t="inlineStr">
        <is>
          <t>Lithium</t>
        </is>
      </c>
      <c r="L202" s="2" t="n">
        <v>40000</v>
      </c>
      <c r="M202" s="2" t="inlineStr">
        <is>
          <t>t/yr</t>
        </is>
      </c>
      <c r="N202" s="2" t="n"/>
      <c r="O202" s="2" t="n"/>
      <c r="P202" s="2" t="inlineStr">
        <is>
          <t>TRUE</t>
        </is>
      </c>
      <c r="Q202" s="2" t="inlineStr">
        <is>
          <t>battery_grade</t>
        </is>
      </c>
      <c r="R202" s="2" t="inlineStr">
        <is>
          <t>283691</t>
        </is>
      </c>
      <c r="S202" s="2" t="inlineStr">
        <is>
          <t>operator</t>
        </is>
      </c>
      <c r="T202" s="2" t="n">
        <v>1</v>
      </c>
      <c r="U202" s="2" t="inlineStr">
        <is>
          <t>https://www.sec.gov/Archives/edgar/data/909037/000090903726000023/sqm-20251231.htm</t>
        </is>
      </c>
      <c r="V202" s="2" t="inlineStr">
        <is>
          <t>SQM 20-F FY2025 Item 4.B: SQM produces LITHIUM CARBONATE AND LITHIUM HYDROXIDE at its plant near the CITY OF ANTOFAGASTA, CHILE, from solutions brought from the Salar de Atacama. This is the "Salar del Carmen" facility. PRODUCT MIX: Battery-grade + technical-grade lithium carbonate + lithium hydroxide (Li2CO3, LiOH). CAPACITY: Not disclosed in filing; historically ~180-210 ktpa Li2CO3 nominal. PROCESSING: Brine solutions from Salar de Atacama evaporation ponds are trucked ~200 km to Salar del Carmen for chemical processing into finished lithium products. Also produces potassium chloride, potassium sulfate, and bischofite (MgCl2) from Salar brines. *** SQM 20-F FY2025: NO SEPARATE RESERVES — chemicals plant processes brines from Salar de Atacama (see Salar de Atacama row for reserves). Salar del Carmen produces lithium carbonate + lithium hydroxide from brine solutions trucked ~200 km from Salar de Atacama. Capacity: FY22 completed expansions to 180 kt/y Li₂CO₃ + 30 kt/y LiOH. Target 240 kt/y Li₂CO₃ by 2028 + 100 kt/y LiOH by end 2026. | Salar del Carmen is the physically-correct name of the Lithium Chemical Plant near Antofagasta (200km from Salar de Atacama brine). LiOH capacity 40 kt/yr end-2025, expanding to 100 kt/yr end-2026. Li carbonate feedstock from Salar de Atacama brine (Row 34). Row 35 duplicates this facility under a different name; keep only ONE of Row 35 or Row 221. | *** MERGED FROM ROW 35 (deleted 2026-07-06): [Product: Lithium carbonate → HS 2836.91 (HIGH)]  | LiOH nominal capacity end-2025: 40 kt/yr. Expansion to 100 kt/yr by end-2026 in progress. Facility physically at Salar del Carmen near Antofagasta (200km from Salar de Atacama brine site) — see Row 221 for canonical Salar del Carmen name. DUPLICATE OF Row 36. [stage normalized "refining"-&gt;"battery_grade" 2026-07-07: Salar del Carmen produces battery-grade Li2CO3/LiOH] [facility_type normalized "processing_plant"-&gt;"processing" 2026-07-07 per extended FacilityType enum] [capacity detail: t LiOH/yr]</t>
        </is>
      </c>
      <c r="W202" s="2" t="n"/>
      <c r="X202" s="2" t="n"/>
      <c r="Y202" s="2" t="n"/>
      <c r="Z202" s="2" t="n"/>
      <c r="AA202" s="0" t="inlineStr">
        <is>
          <t>battery-grade + technical-grade lithium carbonate + lithium hydroxide + potassium chloride + potassium sulfate + bischofite</t>
        </is>
      </c>
    </row>
    <row r="203" ht="15.75" customHeight="1" s="74">
      <c r="A203" s="2" t="inlineStr">
        <is>
          <t>Sociedad Química y Minera de Chile S.A.</t>
        </is>
      </c>
      <c r="B203" s="2" t="inlineStr">
        <is>
          <t>CL</t>
        </is>
      </c>
      <c r="C203" s="2" t="inlineStr">
        <is>
          <t>Andover Lithium Project</t>
        </is>
      </c>
      <c r="D203" s="2" t="inlineStr">
        <is>
          <t>exploration_project</t>
        </is>
      </c>
      <c r="E203" s="2" t="inlineStr">
        <is>
          <t>AU</t>
        </is>
      </c>
      <c r="F203" s="2" t="inlineStr">
        <is>
          <t>Western Australia</t>
        </is>
      </c>
      <c r="G203" s="2" t="inlineStr">
        <is>
          <t>Pilbara (Andover)</t>
        </is>
      </c>
      <c r="H203" s="2" t="n"/>
      <c r="I203" s="2" t="n"/>
      <c r="J203" s="2" t="inlineStr">
        <is>
          <t>planned</t>
        </is>
      </c>
      <c r="K203" s="2" t="inlineStr">
        <is>
          <t>Lithium</t>
        </is>
      </c>
      <c r="L203" s="2" t="n"/>
      <c r="M203" s="2" t="n"/>
      <c r="N203" s="2" t="n"/>
      <c r="O203" s="2" t="n"/>
      <c r="P203" s="2" t="inlineStr">
        <is>
          <t>TRUE</t>
        </is>
      </c>
      <c r="Q203" s="2" t="inlineStr">
        <is>
          <t>ore</t>
        </is>
      </c>
      <c r="R203" s="2" t="inlineStr">
        <is>
          <t>253090</t>
        </is>
      </c>
      <c r="S203" s="2" t="inlineStr">
        <is>
          <t>jv_partner</t>
        </is>
      </c>
      <c r="T203" s="2" t="n">
        <v>0.3</v>
      </c>
      <c r="U203" s="2" t="inlineStr">
        <is>
          <t>https://www.sec.gov/Archives/edgar/data/909037/000090903726000023/sqm-20251231.htm</t>
        </is>
      </c>
      <c r="V203" s="2" t="inlineStr">
        <is>
          <t>SQM 20-F FY2025 Item 4.A: Early-stage lithium exploration project in Western Australia. Acquired via 2024 SQM + Hancock Prospecting joint acquisition of Azure Minerals Limited (each 50%) — see risk event Row 120. AZURE MINERALS holds 60% interest in Andover project. SQM EFFECTIVE INTEREST = 50% × 60% = 30%. STAGE: Early exploration — no production timeline. Part of SQM Lithium International Division diversification strategy alongside Mount Holland/Kwinana (via Covalent JV) and Ivanhoe Electric Cu exploration (northern Chile, Row 117). *** SQM 20-F FY2025: EARLY EXPLORATION — no Mineral Reserves reported (still in Mineral Resources definition stage). QP-verified resource estimates not yet published. Effective interest SQM 30% (via Azure Minerals 60% × SQM 50%). | Andover project — early-stage exploration in Western Australia. 50/50 JV with Hancock Prospecting. No production in FY25. Part of US$2.7B 2025-2027 investment plan (initial development investments). [stage normalized "exploration"-&gt;"ore" 2026-07-07: future ore output; project stage carried by status column] [status normalized "development"-&gt;"planned" 2026-07-07] [OWNERSHIP TYPE FIX 2026-07-10: was 'jv_partner_non_operator' (non-operator JV) - loader enum has no operator-distinction.]</t>
        </is>
      </c>
      <c r="W203" s="2" t="n"/>
      <c r="X203" s="2" t="n"/>
      <c r="Y203" s="2" t="n"/>
      <c r="Z203" s="2" t="n"/>
      <c r="AA203" s="0" t="inlineStr">
        <is>
          <t>lithium spodumene concentrate (planned)</t>
        </is>
      </c>
    </row>
    <row r="204" ht="15.75" customHeight="1" s="74">
      <c r="A204" s="2" t="inlineStr">
        <is>
          <t>Freeport-McMoRan Inc.</t>
        </is>
      </c>
      <c r="B204" s="2" t="inlineStr">
        <is>
          <t>US</t>
        </is>
      </c>
      <c r="C204" s="2" t="inlineStr">
        <is>
          <t>Morenci Mine</t>
        </is>
      </c>
      <c r="D204" s="2" t="inlineStr">
        <is>
          <t>mine</t>
        </is>
      </c>
      <c r="E204" s="2" t="inlineStr">
        <is>
          <t>US</t>
        </is>
      </c>
      <c r="F204" s="2" t="inlineStr">
        <is>
          <t>Arizona</t>
        </is>
      </c>
      <c r="G204" s="2" t="inlineStr">
        <is>
          <t>Morenci</t>
        </is>
      </c>
      <c r="H204" s="2" t="n">
        <v>33.0656</v>
      </c>
      <c r="I204" s="2" t="n">
        <v>-109.3665</v>
      </c>
      <c r="J204" s="2" t="inlineStr">
        <is>
          <t>operating</t>
        </is>
      </c>
      <c r="K204" s="2" t="inlineStr">
        <is>
          <t>Copper</t>
        </is>
      </c>
      <c r="L204" s="2" t="n"/>
      <c r="M204" s="2" t="inlineStr">
        <is>
          <t>t/yr</t>
        </is>
      </c>
      <c r="N204" s="2" t="n">
        <v>225400</v>
      </c>
      <c r="O204" s="2" t="inlineStr">
        <is>
          <t>t Cu</t>
        </is>
      </c>
      <c r="P204" s="2" t="inlineStr">
        <is>
          <t>TRUE</t>
        </is>
      </c>
      <c r="Q204" s="2" t="inlineStr">
        <is>
          <t>ore</t>
        </is>
      </c>
      <c r="R204" s="2" t="inlineStr">
        <is>
          <t>2603</t>
        </is>
      </c>
      <c r="S204" s="2" t="inlineStr">
        <is>
          <t>jv_partner</t>
        </is>
      </c>
      <c r="T204" s="2" t="n">
        <v>0.72</v>
      </c>
      <c r="U204" s="2" t="inlineStr">
        <is>
          <t>https://www.sec.gov/Archives/edgar/data/831259/000083125926000012/fcx-20251231.htm</t>
        </is>
      </c>
      <c r="V204" s="2" t="inlineStr">
        <is>
          <t>Morenci is largest US FCX Cu mine. FY25 net production 497 Mlb Cu = 225.4 kt (FCX 72% share of Morenci JV; remaining 28% held by Sumitomo Metal Mining + Sumitomo Corp). Combined operation includes SX/EW cathode + Cu concentrate. Water rights: subject to Gila River adjudication (Item 3 Legal Proceedings). Historically produces ~30-40 Mlb Moly byproduct. [stage normalized "mining"-&gt;"ore" 2026-07-07: mine convention, matches SCCO/Vale rows] [capacity detail: t/yr Cu] [PCT SCALE FIX 2026-07-10: ownership was 72 (percent scale) -&gt; 0.72 decimal.]</t>
        </is>
      </c>
      <c r="W204" s="2" t="n"/>
      <c r="X204" s="2" t="inlineStr">
        <is>
          <t>open_pit</t>
        </is>
      </c>
      <c r="Y204" s="2" t="n"/>
      <c r="Z204" s="2" t="n"/>
      <c r="AA204" s="0" t="inlineStr">
        <is>
          <t>Cu cathode + concentrate to smelters + rod plants</t>
        </is>
      </c>
    </row>
    <row r="205" ht="15.75" customHeight="1" s="74">
      <c r="A205" s="2" t="inlineStr">
        <is>
          <t>Freeport-McMoRan Inc.</t>
        </is>
      </c>
      <c r="B205" s="2" t="inlineStr">
        <is>
          <t>US</t>
        </is>
      </c>
      <c r="C205" s="2" t="inlineStr">
        <is>
          <t>Bagdad Mine</t>
        </is>
      </c>
      <c r="D205" s="2" t="inlineStr">
        <is>
          <t>mine</t>
        </is>
      </c>
      <c r="E205" s="2" t="inlineStr">
        <is>
          <t>US</t>
        </is>
      </c>
      <c r="F205" s="2" t="inlineStr">
        <is>
          <t>Arizona</t>
        </is>
      </c>
      <c r="G205" s="2" t="inlineStr">
        <is>
          <t>Bagdad</t>
        </is>
      </c>
      <c r="H205" s="2" t="n">
        <v>34.5836</v>
      </c>
      <c r="I205" s="2" t="n">
        <v>-113.1791</v>
      </c>
      <c r="J205" s="2" t="inlineStr">
        <is>
          <t>operating</t>
        </is>
      </c>
      <c r="K205" s="2" t="inlineStr">
        <is>
          <t>Copper</t>
        </is>
      </c>
      <c r="L205" s="2" t="n"/>
      <c r="M205" s="2" t="inlineStr">
        <is>
          <t>t/yr</t>
        </is>
      </c>
      <c r="N205" s="2" t="n">
        <v>67600</v>
      </c>
      <c r="O205" s="2" t="inlineStr">
        <is>
          <t>t Cu</t>
        </is>
      </c>
      <c r="P205" s="2" t="inlineStr">
        <is>
          <t>TRUE</t>
        </is>
      </c>
      <c r="Q205" s="2" t="inlineStr">
        <is>
          <t>ore</t>
        </is>
      </c>
      <c r="R205" s="2" t="inlineStr">
        <is>
          <t>2603</t>
        </is>
      </c>
      <c r="S205" s="2" t="inlineStr">
        <is>
          <t>operator</t>
        </is>
      </c>
      <c r="T205" s="2" t="n">
        <v>1</v>
      </c>
      <c r="U205" s="2" t="inlineStr">
        <is>
          <t>https://www.sec.gov/Archives/edgar/data/831259/000083125926000012/fcx-20251231.htm</t>
        </is>
      </c>
      <c r="V205" s="2" t="inlineStr">
        <is>
          <t>Bagdad is 100% FCX-owned Cu mine in Arizona. FY25 production 149 Mlb Cu = 67.6 kt. Produces Cu concentrate + SX/EW cathode. Small Moly byproduct. | 2025 MILESTONE: Completed conversion to fully autonomous haul truck fleet — FIRST major US mine with fully autonomous fleet. ~$3.5B concentrator expansion decision pending 2026 for potential +200-250 Mlb/yr Cu (Row 143 event). [stage normalized "mining"-&gt;"ore" 2026-07-07: mine convention, matches SCCO/Vale rows] [capacity detail: t/yr Cu] [PCT SCALE FIX 2026-07-10: ownership was 100 (percent scale) -&gt; 1.0 decimal.]</t>
        </is>
      </c>
      <c r="W205" s="2" t="n"/>
      <c r="X205" s="2" t="inlineStr">
        <is>
          <t>open_pit</t>
        </is>
      </c>
      <c r="Y205" s="2" t="n"/>
      <c r="Z205" s="2" t="n"/>
      <c r="AA205" s="0" t="inlineStr">
        <is>
          <t>Cu cathode + concentrate</t>
        </is>
      </c>
    </row>
    <row r="206" ht="15.75" customHeight="1" s="74">
      <c r="A206" s="2" t="inlineStr">
        <is>
          <t>Freeport-McMoRan Inc.</t>
        </is>
      </c>
      <c r="B206" s="2" t="inlineStr">
        <is>
          <t>US</t>
        </is>
      </c>
      <c r="C206" s="2" t="inlineStr">
        <is>
          <t>Safford Mine (incl Lone Star)</t>
        </is>
      </c>
      <c r="D206" s="2" t="inlineStr">
        <is>
          <t>mine</t>
        </is>
      </c>
      <c r="E206" s="2" t="inlineStr">
        <is>
          <t>US</t>
        </is>
      </c>
      <c r="F206" s="2" t="inlineStr">
        <is>
          <t>Arizona</t>
        </is>
      </c>
      <c r="G206" s="2" t="inlineStr">
        <is>
          <t>Safford</t>
        </is>
      </c>
      <c r="H206" s="2" t="n">
        <v>32.8354</v>
      </c>
      <c r="I206" s="2" t="n">
        <v>-109.7076</v>
      </c>
      <c r="J206" s="2" t="inlineStr">
        <is>
          <t>operating</t>
        </is>
      </c>
      <c r="K206" s="2" t="inlineStr">
        <is>
          <t>Copper</t>
        </is>
      </c>
      <c r="L206" s="2" t="n"/>
      <c r="M206" s="2" t="inlineStr">
        <is>
          <t>t/yr</t>
        </is>
      </c>
      <c r="N206" s="2" t="n">
        <v>130200</v>
      </c>
      <c r="O206" s="2" t="inlineStr">
        <is>
          <t>t Cu</t>
        </is>
      </c>
      <c r="P206" s="2" t="inlineStr">
        <is>
          <t>TRUE</t>
        </is>
      </c>
      <c r="Q206" s="2" t="inlineStr">
        <is>
          <t>ore</t>
        </is>
      </c>
      <c r="R206" s="2" t="inlineStr">
        <is>
          <t>2603</t>
        </is>
      </c>
      <c r="S206" s="2" t="inlineStr">
        <is>
          <t>operator</t>
        </is>
      </c>
      <c r="T206" s="2" t="n">
        <v>1</v>
      </c>
      <c r="U206" s="2" t="inlineStr">
        <is>
          <t>https://www.sec.gov/Archives/edgar/data/831259/000083125926000012/fcx-20251231.htm</t>
        </is>
      </c>
      <c r="V206" s="2" t="inlineStr">
        <is>
          <t>Safford + Lone Star adjacent operations 100% FCX Arizona. FY25 production 287 Mlb Cu = 130.2 kt. Solely SX/EW cathode. Subject to Gila River adjudication. Growth expansion opportunity per Item 7 MD&amp;A. [stage normalized "mining"-&gt;"ore" 2026-07-07: mine convention, matches SCCO/Vale rows] [capacity detail: t/yr Cu] [PCT SCALE FIX 2026-07-10: ownership was 100 (percent scale) -&gt; 1.0 decimal.]</t>
        </is>
      </c>
      <c r="W206" s="2" t="n"/>
      <c r="X206" s="2" t="inlineStr">
        <is>
          <t>open_pit</t>
        </is>
      </c>
      <c r="Y206" s="2" t="n"/>
      <c r="Z206" s="2" t="n"/>
      <c r="AA206" s="0" t="inlineStr">
        <is>
          <t>SX/EW Cu cathode</t>
        </is>
      </c>
    </row>
    <row r="207" ht="15.75" customHeight="1" s="74">
      <c r="A207" s="2" t="inlineStr">
        <is>
          <t>Freeport-McMoRan Inc.</t>
        </is>
      </c>
      <c r="B207" s="2" t="inlineStr">
        <is>
          <t>US</t>
        </is>
      </c>
      <c r="C207" s="2" t="inlineStr">
        <is>
          <t>Sierrita Mine</t>
        </is>
      </c>
      <c r="D207" s="2" t="inlineStr">
        <is>
          <t>mine</t>
        </is>
      </c>
      <c r="E207" s="2" t="inlineStr">
        <is>
          <t>US</t>
        </is>
      </c>
      <c r="F207" s="2" t="inlineStr">
        <is>
          <t>Arizona</t>
        </is>
      </c>
      <c r="G207" s="2" t="inlineStr">
        <is>
          <t>Green Valley</t>
        </is>
      </c>
      <c r="H207" s="2" t="n">
        <v>31.9098</v>
      </c>
      <c r="I207" s="2" t="n">
        <v>-111.0553</v>
      </c>
      <c r="J207" s="2" t="inlineStr">
        <is>
          <t>operating</t>
        </is>
      </c>
      <c r="K207" s="2" t="inlineStr">
        <is>
          <t>Copper</t>
        </is>
      </c>
      <c r="L207" s="2" t="n"/>
      <c r="M207" s="2" t="inlineStr">
        <is>
          <t>t/yr</t>
        </is>
      </c>
      <c r="N207" s="2" t="n">
        <v>83500</v>
      </c>
      <c r="O207" s="2" t="inlineStr">
        <is>
          <t>t Cu</t>
        </is>
      </c>
      <c r="P207" s="2" t="inlineStr">
        <is>
          <t>TRUE</t>
        </is>
      </c>
      <c r="Q207" s="2" t="inlineStr">
        <is>
          <t>ore</t>
        </is>
      </c>
      <c r="R207" s="2" t="inlineStr">
        <is>
          <t>2603</t>
        </is>
      </c>
      <c r="S207" s="2" t="inlineStr">
        <is>
          <t>operator</t>
        </is>
      </c>
      <c r="T207" s="2" t="n">
        <v>1</v>
      </c>
      <c r="U207" s="2" t="inlineStr">
        <is>
          <t>https://www.sec.gov/Archives/edgar/data/831259/000083125926000012/fcx-20251231.htm</t>
        </is>
      </c>
      <c r="V207" s="2" t="inlineStr">
        <is>
          <t>Sierrita Cu mine 100% FCX Arizona. FY25 production 184 Mlb Cu = 83.5 kt. Produces Cu concentrate + SX/EW cathode + Moly byproduct. Subject to Santa Cruz watershed reserved water claims from US. [stage normalized "mining"-&gt;"ore" 2026-07-07: mine convention, matches SCCO/Vale rows] [capacity detail: t/yr Cu] [PCT SCALE FIX 2026-07-10: ownership was 100 (percent scale) -&gt; 1.0 decimal.]</t>
        </is>
      </c>
      <c r="W207" s="2" t="n"/>
      <c r="X207" s="2" t="inlineStr">
        <is>
          <t>open_pit</t>
        </is>
      </c>
      <c r="Y207" s="2" t="n"/>
      <c r="Z207" s="2" t="n"/>
      <c r="AA207" s="0" t="inlineStr">
        <is>
          <t>Cu concentrate + cathode + Moly byproduct</t>
        </is>
      </c>
    </row>
    <row r="208" ht="15.75" customHeight="1" s="74">
      <c r="A208" s="2" t="inlineStr">
        <is>
          <t>Freeport-McMoRan Inc.</t>
        </is>
      </c>
      <c r="B208" s="2" t="inlineStr">
        <is>
          <t>US</t>
        </is>
      </c>
      <c r="C208" s="2" t="inlineStr">
        <is>
          <t>Chino Mine</t>
        </is>
      </c>
      <c r="D208" s="2" t="inlineStr">
        <is>
          <t>mine</t>
        </is>
      </c>
      <c r="E208" s="2" t="inlineStr">
        <is>
          <t>US</t>
        </is>
      </c>
      <c r="F208" s="2" t="inlineStr">
        <is>
          <t>New Mexico</t>
        </is>
      </c>
      <c r="G208" s="2" t="inlineStr">
        <is>
          <t>Silver City</t>
        </is>
      </c>
      <c r="H208" s="2" t="n">
        <v>32.7719</v>
      </c>
      <c r="I208" s="2" t="n">
        <v>-108.0731</v>
      </c>
      <c r="J208" s="2" t="inlineStr">
        <is>
          <t>operating</t>
        </is>
      </c>
      <c r="K208" s="2" t="inlineStr">
        <is>
          <t>Copper</t>
        </is>
      </c>
      <c r="L208" s="2" t="n"/>
      <c r="M208" s="2" t="inlineStr">
        <is>
          <t>t/yr</t>
        </is>
      </c>
      <c r="N208" s="2" t="n">
        <v>68000</v>
      </c>
      <c r="O208" s="2" t="inlineStr">
        <is>
          <t>t Cu</t>
        </is>
      </c>
      <c r="P208" s="2" t="inlineStr">
        <is>
          <t>TRUE</t>
        </is>
      </c>
      <c r="Q208" s="2" t="inlineStr">
        <is>
          <t>ore</t>
        </is>
      </c>
      <c r="R208" s="2" t="inlineStr">
        <is>
          <t>2603</t>
        </is>
      </c>
      <c r="S208" s="2" t="inlineStr">
        <is>
          <t>operator</t>
        </is>
      </c>
      <c r="T208" s="2" t="n">
        <v>1</v>
      </c>
      <c r="U208" s="2" t="inlineStr">
        <is>
          <t>https://www.sec.gov/Archives/edgar/data/831259/000083125926000012/fcx-20251231.htm</t>
        </is>
      </c>
      <c r="V208" s="2" t="inlineStr">
        <is>
          <t>Chino Cu mine 100% FCX New Mexico. FY25 production 150 Mlb Cu = 68 kt. Produces Cu concentrate + SX/EW cathode. [stage normalized "mining"-&gt;"ore" 2026-07-07: mine convention, matches SCCO/Vale rows] [capacity detail: t/yr Cu] [PCT SCALE FIX 2026-07-10: ownership was 100 (percent scale) -&gt; 1.0 decimal.]</t>
        </is>
      </c>
      <c r="W208" s="2" t="n"/>
      <c r="X208" s="2" t="inlineStr">
        <is>
          <t>open_pit</t>
        </is>
      </c>
      <c r="Y208" s="2" t="n"/>
      <c r="Z208" s="2" t="n"/>
      <c r="AA208" s="0" t="inlineStr">
        <is>
          <t>Cu concentrate + cathode</t>
        </is>
      </c>
    </row>
    <row r="209" ht="15.75" customHeight="1" s="74">
      <c r="A209" s="2" t="inlineStr">
        <is>
          <t>Freeport-McMoRan Inc.</t>
        </is>
      </c>
      <c r="B209" s="2" t="inlineStr">
        <is>
          <t>US</t>
        </is>
      </c>
      <c r="C209" s="2" t="inlineStr">
        <is>
          <t>Tyrone Mine</t>
        </is>
      </c>
      <c r="D209" s="2" t="inlineStr">
        <is>
          <t>mine</t>
        </is>
      </c>
      <c r="E209" s="2" t="inlineStr">
        <is>
          <t>US</t>
        </is>
      </c>
      <c r="F209" s="2" t="inlineStr">
        <is>
          <t>New Mexico</t>
        </is>
      </c>
      <c r="G209" s="2" t="inlineStr">
        <is>
          <t>Tyrone</t>
        </is>
      </c>
      <c r="H209" s="2" t="n">
        <v>32.6717</v>
      </c>
      <c r="I209" s="2" t="n">
        <v>-108.3325</v>
      </c>
      <c r="J209" s="2" t="inlineStr">
        <is>
          <t>operating</t>
        </is>
      </c>
      <c r="K209" s="2" t="inlineStr">
        <is>
          <t>Copper</t>
        </is>
      </c>
      <c r="L209" s="2" t="n"/>
      <c r="M209" s="2" t="inlineStr">
        <is>
          <t>t/yr</t>
        </is>
      </c>
      <c r="N209" s="2" t="n">
        <v>14500</v>
      </c>
      <c r="O209" s="2" t="inlineStr">
        <is>
          <t>t Cu</t>
        </is>
      </c>
      <c r="P209" s="2" t="inlineStr">
        <is>
          <t>TRUE</t>
        </is>
      </c>
      <c r="Q209" s="2" t="inlineStr">
        <is>
          <t>ore</t>
        </is>
      </c>
      <c r="R209" s="2" t="inlineStr">
        <is>
          <t>2603</t>
        </is>
      </c>
      <c r="S209" s="2" t="inlineStr">
        <is>
          <t>operator</t>
        </is>
      </c>
      <c r="T209" s="2" t="n">
        <v>1</v>
      </c>
      <c r="U209" s="2" t="inlineStr">
        <is>
          <t>https://www.sec.gov/Archives/edgar/data/831259/000083125926000012/fcx-20251231.htm</t>
        </is>
      </c>
      <c r="V209" s="2" t="inlineStr">
        <is>
          <t>Tyrone Cu mine 100% FCX New Mexico. Small operation — FY25 production only 32 Mlb Cu = 14.5 kt. SX/EW cathode. [stage normalized "mining"-&gt;"ore" 2026-07-07: mine convention, matches SCCO/Vale rows] [capacity detail: t/yr Cu] [PCT SCALE FIX 2026-07-10: ownership was 100 (percent scale) -&gt; 1.0 decimal.]</t>
        </is>
      </c>
      <c r="W209" s="2" t="n"/>
      <c r="X209" s="2" t="inlineStr">
        <is>
          <t>open_pit</t>
        </is>
      </c>
      <c r="Y209" s="2" t="n"/>
      <c r="Z209" s="2" t="n"/>
      <c r="AA209" s="0" t="inlineStr">
        <is>
          <t>SX/EW Cu cathode</t>
        </is>
      </c>
    </row>
    <row r="210" ht="15.75" customHeight="1" s="74">
      <c r="A210" s="2" t="inlineStr">
        <is>
          <t>Freeport-McMoRan Inc.</t>
        </is>
      </c>
      <c r="B210" s="2" t="inlineStr">
        <is>
          <t>US</t>
        </is>
      </c>
      <c r="C210" s="2" t="inlineStr">
        <is>
          <t>Miami Mine + Smelter</t>
        </is>
      </c>
      <c r="D210" s="2" t="inlineStr">
        <is>
          <t>integrated</t>
        </is>
      </c>
      <c r="E210" s="2" t="inlineStr">
        <is>
          <t>US</t>
        </is>
      </c>
      <c r="F210" s="2" t="inlineStr">
        <is>
          <t>Arizona</t>
        </is>
      </c>
      <c r="G210" s="2" t="inlineStr">
        <is>
          <t>Miami</t>
        </is>
      </c>
      <c r="H210" s="2" t="n">
        <v>33.4013</v>
      </c>
      <c r="I210" s="2" t="n">
        <v>-110.8687</v>
      </c>
      <c r="J210" s="2" t="inlineStr">
        <is>
          <t>operating</t>
        </is>
      </c>
      <c r="K210" s="2" t="inlineStr">
        <is>
          <t>Copper</t>
        </is>
      </c>
      <c r="L210" s="2" t="n"/>
      <c r="M210" s="2" t="n"/>
      <c r="N210" s="2" t="n">
        <v>4100</v>
      </c>
      <c r="O210" s="2" t="inlineStr">
        <is>
          <t>t Cu</t>
        </is>
      </c>
      <c r="P210" s="2" t="inlineStr">
        <is>
          <t>TRUE</t>
        </is>
      </c>
      <c r="Q210" s="2" t="inlineStr">
        <is>
          <t>refined</t>
        </is>
      </c>
      <c r="R210" s="2" t="inlineStr">
        <is>
          <t>2603;7402</t>
        </is>
      </c>
      <c r="S210" s="2" t="inlineStr">
        <is>
          <t>operator</t>
        </is>
      </c>
      <c r="T210" s="2" t="n">
        <v>1</v>
      </c>
      <c r="U210" s="2" t="inlineStr">
        <is>
          <t>https://www.sec.gov/Archives/edgar/data/831259/000083125926000012/fcx-20251231.htm</t>
        </is>
      </c>
      <c r="V210" s="2" t="inlineStr">
        <is>
          <t>Miami is primarily FCX Cu SMELTER (processes concentrate from Morenci/Bagdad/Sierrita/Chino) with small residual mining. FY25 mine production only 9 Mlb Cu. Miami smelter subject to EPA Copper Smelter Rule — presidential proclamation Oct 2025 exempted from compliance for 2 years (Row 130 event). Miami rod mill co-located. | SMELTER: Processes Cu concentrate from Morenci, Bagdad, Sierrita, Chino mines. FY25 major maintenance turnaround — $73M idle facility costs incurred. EPA Copper Smelter Rule 2-year exemption (Oct 2025 presidential proclamation, Row 130 event). Rod mill co-located. Specific throughput capacity not disclosed in filing. [stage normalized "mining_and_smelting"-&gt;"refined" 2026-07-07: integrated mine+smelter+EW -&gt; cathode] [facility_type normalized "mine_and_smelter"-&gt;"integrated" 2026-07-07 per extended FacilityType enum] [PCT SCALE FIX 2026-07-10: ownership was 100 (percent scale) -&gt; 1.0 decimal.]</t>
        </is>
      </c>
      <c r="W210" s="2" t="n"/>
      <c r="X210" s="2" t="inlineStr">
        <is>
          <t>open_pit</t>
        </is>
      </c>
      <c r="Y210" s="2" t="n"/>
      <c r="Z210" s="2" t="n"/>
      <c r="AA210" s="0" t="inlineStr">
        <is>
          <t>Cu concentrate smelter + rod mill</t>
        </is>
      </c>
    </row>
    <row r="211" ht="15.75" customHeight="1" s="74">
      <c r="A211" s="2" t="inlineStr">
        <is>
          <t>Freeport-McMoRan Inc.</t>
        </is>
      </c>
      <c r="B211" s="2" t="inlineStr">
        <is>
          <t>US</t>
        </is>
      </c>
      <c r="C211" s="2" t="inlineStr">
        <is>
          <t>Henderson Molybdenum Mine</t>
        </is>
      </c>
      <c r="D211" s="2" t="inlineStr">
        <is>
          <t>mine</t>
        </is>
      </c>
      <c r="E211" s="2" t="inlineStr">
        <is>
          <t>US</t>
        </is>
      </c>
      <c r="F211" s="2" t="inlineStr">
        <is>
          <t>Colorado</t>
        </is>
      </c>
      <c r="G211" s="2" t="inlineStr">
        <is>
          <t>Empire</t>
        </is>
      </c>
      <c r="H211" s="2" t="n">
        <v>39.7688</v>
      </c>
      <c r="I211" s="2" t="n">
        <v>-105.8464</v>
      </c>
      <c r="J211" s="2" t="inlineStr">
        <is>
          <t>operating</t>
        </is>
      </c>
      <c r="K211" s="2" t="inlineStr">
        <is>
          <t>Molybdenum</t>
        </is>
      </c>
      <c r="L211" s="2" t="n"/>
      <c r="M211" s="2" t="inlineStr">
        <is>
          <t>t/yr</t>
        </is>
      </c>
      <c r="N211" s="2" t="n">
        <v>5900</v>
      </c>
      <c r="O211" s="2" t="inlineStr">
        <is>
          <t>t Moly</t>
        </is>
      </c>
      <c r="P211" s="2" t="inlineStr">
        <is>
          <t>TRUE</t>
        </is>
      </c>
      <c r="Q211" s="2" t="inlineStr">
        <is>
          <t>ore</t>
        </is>
      </c>
      <c r="R211" s="2" t="inlineStr">
        <is>
          <t>2613</t>
        </is>
      </c>
      <c r="S211" s="2" t="inlineStr">
        <is>
          <t>operator</t>
        </is>
      </c>
      <c r="T211" s="2" t="n">
        <v>1</v>
      </c>
      <c r="U211" s="2" t="inlineStr">
        <is>
          <t>https://www.sec.gov/Archives/edgar/data/831259/000083125926000012/fcx-20251231.htm</t>
        </is>
      </c>
      <c r="V211" s="2" t="inlineStr">
        <is>
          <t>Henderson primary Moly mine 100% FCX Colorado. FY25 production 13 Mlb Moly = 5.9 kt. Only produces Moly + minor lead byproducts. Non-launch-10 material (Moly not on MRA launch list) — battery relevance limited. [stage normalized "mining"-&gt;"ore" 2026-07-07: mine convention, matches SCCO/Vale rows] [capacity detail: t/yr Moly] [PCT SCALE FIX 2026-07-10: ownership was 100 (percent scale) -&gt; 1.0 decimal.]</t>
        </is>
      </c>
      <c r="W211" s="2" t="n"/>
      <c r="X211" s="2" t="inlineStr">
        <is>
          <t>underground</t>
        </is>
      </c>
      <c r="Y211" s="2" t="n"/>
      <c r="Z211" s="2" t="n"/>
      <c r="AA211" s="0" t="inlineStr">
        <is>
          <t>Moly concentrate + chemicals</t>
        </is>
      </c>
    </row>
    <row r="212" ht="15.75" customHeight="1" s="74">
      <c r="A212" s="2" t="inlineStr">
        <is>
          <t>Freeport-McMoRan Inc.</t>
        </is>
      </c>
      <c r="B212" s="2" t="inlineStr">
        <is>
          <t>US</t>
        </is>
      </c>
      <c r="C212" s="2" t="inlineStr">
        <is>
          <t>Climax Molybdenum Mine</t>
        </is>
      </c>
      <c r="D212" s="2" t="inlineStr">
        <is>
          <t>mine</t>
        </is>
      </c>
      <c r="E212" s="2" t="inlineStr">
        <is>
          <t>US</t>
        </is>
      </c>
      <c r="F212" s="2" t="inlineStr">
        <is>
          <t>Colorado</t>
        </is>
      </c>
      <c r="G212" s="2" t="inlineStr">
        <is>
          <t>Climax</t>
        </is>
      </c>
      <c r="H212" s="2" t="n">
        <v>39.3672</v>
      </c>
      <c r="I212" s="2" t="n">
        <v>-106.1856</v>
      </c>
      <c r="J212" s="2" t="inlineStr">
        <is>
          <t>operating</t>
        </is>
      </c>
      <c r="K212" s="2" t="inlineStr">
        <is>
          <t>Molybdenum</t>
        </is>
      </c>
      <c r="L212" s="2" t="n"/>
      <c r="M212" s="2" t="inlineStr">
        <is>
          <t>t/yr</t>
        </is>
      </c>
      <c r="N212" s="2" t="n">
        <v>10900</v>
      </c>
      <c r="O212" s="2" t="inlineStr">
        <is>
          <t>t Moly</t>
        </is>
      </c>
      <c r="P212" s="2" t="inlineStr">
        <is>
          <t>TRUE</t>
        </is>
      </c>
      <c r="Q212" s="2" t="inlineStr">
        <is>
          <t>ore</t>
        </is>
      </c>
      <c r="R212" s="2" t="inlineStr">
        <is>
          <t>2613</t>
        </is>
      </c>
      <c r="S212" s="2" t="inlineStr">
        <is>
          <t>operator</t>
        </is>
      </c>
      <c r="T212" s="2" t="n">
        <v>1</v>
      </c>
      <c r="U212" s="2" t="inlineStr">
        <is>
          <t>https://www.sec.gov/Archives/edgar/data/831259/000083125926000012/fcx-20251231.htm</t>
        </is>
      </c>
      <c r="V212" s="2" t="inlineStr">
        <is>
          <t>Climax primary Moly mine 100% FCX Colorado. FY25 production 24 Mlb Moly = 10.9 kt (largest FCX standalone Moly mine). Total FCX Moly production FY25 = 92 Mlb (~41.7 kt) making FCX world's largest Moly producer per Wood Mackenzie. [stage normalized "mining"-&gt;"ore" 2026-07-07: mine convention, matches SCCO/Vale rows] [capacity detail: t/yr Moly] [PCT SCALE FIX 2026-07-10: ownership was 100 (percent scale) -&gt; 1.0 decimal.]</t>
        </is>
      </c>
      <c r="W212" s="2" t="n"/>
      <c r="X212" s="2" t="inlineStr">
        <is>
          <t>open_pit</t>
        </is>
      </c>
      <c r="Y212" s="2" t="n"/>
      <c r="Z212" s="2" t="n"/>
      <c r="AA212" s="0" t="inlineStr">
        <is>
          <t>Moly concentrate + chemicals</t>
        </is>
      </c>
    </row>
    <row r="213" ht="15.75" customHeight="1" s="74">
      <c r="A213" s="2" t="inlineStr">
        <is>
          <t>Freeport-McMoRan Inc.</t>
        </is>
      </c>
      <c r="B213" s="2" t="inlineStr">
        <is>
          <t>US</t>
        </is>
      </c>
      <c r="C213" s="2" t="inlineStr">
        <is>
          <t>El Paso Cu Refinery + Rod Mill</t>
        </is>
      </c>
      <c r="D213" s="2" t="inlineStr">
        <is>
          <t>refinery</t>
        </is>
      </c>
      <c r="E213" s="2" t="inlineStr">
        <is>
          <t>US</t>
        </is>
      </c>
      <c r="F213" s="2" t="inlineStr">
        <is>
          <t>Texas</t>
        </is>
      </c>
      <c r="G213" s="2" t="inlineStr">
        <is>
          <t>El Paso</t>
        </is>
      </c>
      <c r="H213" s="2" t="n">
        <v>31.7619</v>
      </c>
      <c r="I213" s="2" t="n">
        <v>-106.485</v>
      </c>
      <c r="J213" s="2" t="inlineStr">
        <is>
          <t>operating</t>
        </is>
      </c>
      <c r="K213" s="2" t="inlineStr">
        <is>
          <t>Copper</t>
        </is>
      </c>
      <c r="L213" s="2" t="n"/>
      <c r="M213" s="2" t="inlineStr">
        <is>
          <t>t/yr</t>
        </is>
      </c>
      <c r="N213" s="2" t="n">
        <v>454000</v>
      </c>
      <c r="O213" s="2" t="inlineStr">
        <is>
          <t>t Cu rod/yr (combined US rod ~1 Blb/yr)</t>
        </is>
      </c>
      <c r="P213" s="2" t="inlineStr">
        <is>
          <t>TRUE</t>
        </is>
      </c>
      <c r="Q213" s="2" t="inlineStr">
        <is>
          <t>refined</t>
        </is>
      </c>
      <c r="R213" s="2" t="inlineStr">
        <is>
          <t>7403;7408</t>
        </is>
      </c>
      <c r="S213" s="2" t="inlineStr">
        <is>
          <t>operator</t>
        </is>
      </c>
      <c r="T213" s="2" t="n">
        <v>1</v>
      </c>
      <c r="U213" s="2" t="inlineStr">
        <is>
          <t>https://www.sec.gov/Archives/edgar/data/831259/000083125926000012/fcx-20251231.htm</t>
        </is>
      </c>
      <c r="V213" s="2" t="inlineStr">
        <is>
          <t>FCX El Paso Cu refinery (electrolytic) + rod mill. Processes anode from Miami smelter → 99.99% Cu cathode → continuous cast Cu rod for wire/cable manufacturers. | Processes Miami smelter anode → 99.99% Cu cathode → continuous cast Cu rod for wire/cable. Also rod plant separate from refinery. US Rod &amp; Refining segment. Combined US rod facility output approximated 1 billion pounds Cu per year for each of last 3 years — El Paso is main rod facility, so majority attributable here. Miami rod mill also operates. 2025: FY25 66% of US Cu sales was as rod, 25% cathode, 9% concentrate. [stage normalized "refining"-&gt;"refined" 2026-07-07: fallback for remaining refining rows] [capacity detail: t Cu cathode/rod - specific capacity not disclosed] [PCT SCALE FIX 2026-07-10: ownership was 100 (percent scale) -&gt; 1.0 decimal.]</t>
        </is>
      </c>
      <c r="W213" s="2" t="n"/>
      <c r="X213" s="2" t="n"/>
      <c r="Y213" s="2" t="n"/>
      <c r="Z213" s="2" t="n"/>
      <c r="AA213" s="0" t="inlineStr">
        <is>
          <t>Cu cathode 99.99% + continuous cast rod</t>
        </is>
      </c>
    </row>
    <row r="214" ht="15.75" customHeight="1" s="74">
      <c r="A214" s="2" t="inlineStr">
        <is>
          <t>Freeport-McMoRan Inc.</t>
        </is>
      </c>
      <c r="B214" s="2" t="inlineStr">
        <is>
          <t>US</t>
        </is>
      </c>
      <c r="C214" s="2" t="inlineStr">
        <is>
          <t>Cerro Verde Mine</t>
        </is>
      </c>
      <c r="D214" s="2" t="inlineStr">
        <is>
          <t>mine</t>
        </is>
      </c>
      <c r="E214" s="2" t="inlineStr">
        <is>
          <t>PE</t>
        </is>
      </c>
      <c r="F214" s="2" t="inlineStr">
        <is>
          <t>Arequipa</t>
        </is>
      </c>
      <c r="G214" s="2" t="inlineStr">
        <is>
          <t>Uchumayo</t>
        </is>
      </c>
      <c r="H214" s="2" t="n">
        <v>-16.53</v>
      </c>
      <c r="I214" s="2" t="n">
        <v>-71.62</v>
      </c>
      <c r="J214" s="2" t="inlineStr">
        <is>
          <t>operating</t>
        </is>
      </c>
      <c r="K214" s="2" t="inlineStr">
        <is>
          <t>Copper</t>
        </is>
      </c>
      <c r="L214" s="2" t="n"/>
      <c r="M214" s="2" t="inlineStr">
        <is>
          <t>t/yr</t>
        </is>
      </c>
      <c r="N214" s="2" t="n">
        <v>391500</v>
      </c>
      <c r="O214" s="2" t="inlineStr">
        <is>
          <t>t Cu</t>
        </is>
      </c>
      <c r="P214" s="2" t="inlineStr">
        <is>
          <t>TRUE</t>
        </is>
      </c>
      <c r="Q214" s="2" t="inlineStr">
        <is>
          <t>ore</t>
        </is>
      </c>
      <c r="R214" s="2" t="inlineStr">
        <is>
          <t>2603</t>
        </is>
      </c>
      <c r="S214" s="2" t="inlineStr">
        <is>
          <t>jv_partner</t>
        </is>
      </c>
      <c r="T214" s="2" t="n">
        <v>0.5508</v>
      </c>
      <c r="U214" s="2" t="inlineStr">
        <is>
          <t>https://www.sec.gov/Archives/edgar/data/831259/000083125926000012/fcx-20251231.htm</t>
        </is>
      </c>
      <c r="V214" s="2" t="inlineStr">
        <is>
          <t>Cerro Verde is FCX 2nd-largest Cu mine (after Grasberg). FCX 55.08% ownership INCREASED Sept 2024 from 53.56% (Row 133 event). FY25 net production 863 Mlb Cu = 391 kt + 21 Mlb Moly byproduct. Other owners: Buenaventura 19.58% + Sumitomo Metal Mining 21.00% + minorities 4.34%. Water: SEDAPAR Dec 2025 agreement expands Arequipa wastewater plant + secures long-term water rights. | Dec 2025: signed SEDAPAR wastewater plant expansion agreement — secures long-term preferential water rights (Row 144 event). Reduces water-scarcity operational risk. [stage normalized "mining"-&gt;"ore" 2026-07-07: mine convention, matches SCCO/Vale rows] [capacity detail: t/yr Cu] [PCT SCALE FIX 2026-07-10: ownership was 55.08 (percent scale) -&gt; 0.5508 decimal.]</t>
        </is>
      </c>
      <c r="W214" s="2" t="n"/>
      <c r="X214" s="2" t="inlineStr">
        <is>
          <t>open_pit</t>
        </is>
      </c>
      <c r="Y214" s="2" t="n"/>
      <c r="Z214" s="2" t="n"/>
      <c r="AA214" s="0" t="inlineStr">
        <is>
          <t>Cu concentrate + SX/EW cathode + Moly byproduct</t>
        </is>
      </c>
    </row>
    <row r="215" ht="15.75" customHeight="1" s="74">
      <c r="A215" s="2" t="inlineStr">
        <is>
          <t>Freeport-McMoRan Inc.</t>
        </is>
      </c>
      <c r="B215" s="2" t="inlineStr">
        <is>
          <t>US</t>
        </is>
      </c>
      <c r="C215" s="2" t="inlineStr">
        <is>
          <t>El Abra Mine</t>
        </is>
      </c>
      <c r="D215" s="2" t="inlineStr">
        <is>
          <t>mine</t>
        </is>
      </c>
      <c r="E215" s="2" t="inlineStr">
        <is>
          <t>CL</t>
        </is>
      </c>
      <c r="F215" s="2" t="inlineStr">
        <is>
          <t>Antofagasta</t>
        </is>
      </c>
      <c r="G215" s="2" t="inlineStr">
        <is>
          <t>Calama</t>
        </is>
      </c>
      <c r="H215" s="2" t="n">
        <v>-22.2833</v>
      </c>
      <c r="I215" s="2" t="n">
        <v>-68.91670000000001</v>
      </c>
      <c r="J215" s="2" t="inlineStr">
        <is>
          <t>operating</t>
        </is>
      </c>
      <c r="K215" s="2" t="inlineStr">
        <is>
          <t>Copper</t>
        </is>
      </c>
      <c r="L215" s="2" t="n"/>
      <c r="M215" s="2" t="inlineStr">
        <is>
          <t>t/yr</t>
        </is>
      </c>
      <c r="N215" s="2" t="n">
        <v>91200</v>
      </c>
      <c r="O215" s="2" t="inlineStr">
        <is>
          <t>t Cu</t>
        </is>
      </c>
      <c r="P215" s="2" t="inlineStr">
        <is>
          <t>TRUE</t>
        </is>
      </c>
      <c r="Q215" s="2" t="inlineStr">
        <is>
          <t>ore</t>
        </is>
      </c>
      <c r="R215" s="2" t="inlineStr">
        <is>
          <t>2603</t>
        </is>
      </c>
      <c r="S215" s="2" t="inlineStr">
        <is>
          <t>jv_partner</t>
        </is>
      </c>
      <c r="T215" s="2" t="n">
        <v>0.51</v>
      </c>
      <c r="U215" s="2" t="inlineStr">
        <is>
          <t>https://www.sec.gov/Archives/edgar/data/831259/000083125926000012/fcx-20251231.htm</t>
        </is>
      </c>
      <c r="V215" s="2" t="inlineStr">
        <is>
          <t>El Abra Cu mine Chile. FCX 51% + Codelco 49%. FY25 net production 201 Mlb Cu = 91.2 kt. Solely SX/EW cathode. Aug 2025: updated closure plan filed under Chile Mine Closure Law five-year cycle. | El Abra sulfide mill project pre-development: 17.5 Blb Cu reserve identified, +700 Mlb Cu/yr potential when built; EIS to Chile regulator H1 2026 (Row 145 event). Project economics support at &lt;$4.00/lb Cu. [stage normalized "mining"-&gt;"ore" 2026-07-07: mine convention, matches SCCO/Vale rows] [capacity detail: t/yr Cu] [PCT SCALE FIX 2026-07-10: ownership was 51 (percent scale) -&gt; 0.51 decimal.]</t>
        </is>
      </c>
      <c r="W215" s="2" t="n"/>
      <c r="X215" s="2" t="inlineStr">
        <is>
          <t>open_pit</t>
        </is>
      </c>
      <c r="Y215" s="2" t="n"/>
      <c r="Z215" s="2" t="n"/>
      <c r="AA215" s="0" t="inlineStr">
        <is>
          <t>SX/EW Cu cathode</t>
        </is>
      </c>
    </row>
    <row r="216" ht="15.75" customHeight="1" s="74">
      <c r="A216" s="2" t="inlineStr">
        <is>
          <t>Freeport-McMoRan Inc.</t>
        </is>
      </c>
      <c r="B216" s="2" t="inlineStr">
        <is>
          <t>US</t>
        </is>
      </c>
      <c r="C216" s="2" t="inlineStr">
        <is>
          <t>Grasberg Block Cave Underground</t>
        </is>
      </c>
      <c r="D216" s="2" t="inlineStr">
        <is>
          <t>mine</t>
        </is>
      </c>
      <c r="E216" s="2" t="inlineStr">
        <is>
          <t>ID</t>
        </is>
      </c>
      <c r="F216" s="2" t="inlineStr">
        <is>
          <t>Central Papua</t>
        </is>
      </c>
      <c r="G216" s="2" t="inlineStr">
        <is>
          <t>Tembagapura</t>
        </is>
      </c>
      <c r="H216" s="2" t="n">
        <v>-4.0533</v>
      </c>
      <c r="I216" s="2" t="n">
        <v>137.1156</v>
      </c>
      <c r="J216" s="2" t="inlineStr">
        <is>
          <t>suspended</t>
        </is>
      </c>
      <c r="K216" s="2" t="inlineStr">
        <is>
          <t>Copper</t>
        </is>
      </c>
      <c r="L216" s="2" t="n">
        <v>133800</v>
      </c>
      <c r="M216" s="2" t="inlineStr">
        <is>
          <t>t/yr</t>
        </is>
      </c>
      <c r="N216" s="2" t="n">
        <v>135000</v>
      </c>
      <c r="O216" s="2" t="inlineStr">
        <is>
          <t>t Cu FY25 FCX share (mud-rush impacted; normal ~230 kt/yr)</t>
        </is>
      </c>
      <c r="P216" s="2" t="inlineStr">
        <is>
          <t>TRUE</t>
        </is>
      </c>
      <c r="Q216" s="2" t="inlineStr">
        <is>
          <t>ore</t>
        </is>
      </c>
      <c r="R216" s="2" t="inlineStr">
        <is>
          <t>2603</t>
        </is>
      </c>
      <c r="S216" s="2" t="inlineStr">
        <is>
          <t>jv_partner</t>
        </is>
      </c>
      <c r="T216" s="2" t="n">
        <v>0.4876</v>
      </c>
      <c r="U216" s="2" t="inlineStr">
        <is>
          <t>https://www.sec.gov/Archives/edgar/data/831259/000083125926000012/fcx-20251231.htm</t>
        </is>
      </c>
      <c r="V216" s="2" t="inlineStr">
        <is>
          <t>Grasberg Block Cave underground Cu-Au mine. Same ore body as former Grasberg open pit (depleted). At Dec 31 2025: 470 open drawbells. AVG milling: 78,400 t/day 2025 vs 133,800 t/day 2024 (-41%) — Sept 2025 mud rush impact. Q2 2026 phased restart anticipated. Normal capacity contributes to PTFI's combined 1.7 Blb Cu + 1.3 Moz Au/yr underground production. Life through 2041 (extendable). PTFI ownership: FCX 48.76% + Mind ID (state) 51.24%. | FY25 MILLING: 78,400 t/day avg (down from 133,800 t/day 2024 = -41% due to Sept 2025 mud rush 100-day suspension). Grade 1.10% Cu, 87.9% recovery. Q2 2026 phased restart planned: Production Blocks 2 and 3 restart Q2 2026; Block 1 potential restart 2027. ~85% of total PTFI normal production restored in H2 2026 per current estimates. [stage normalized "mining"-&gt;"ore" 2026-07-07: mine convention, matches SCCO/Vale rows] [status normalized "suspended_partial_restart_Q2_2026"-&gt;"suspended" 2026-07-07: partial restart from Q2 2026 per FCX disclosure - restart detail retained in this note; was suspended_partial_restart_Q2_2026] [capacity detail: t ore milled/day (normal); ~230 kt Cu/yr FCX share] [PCT SCALE FIX 2026-07-10: ownership was 48.76 (percent scale) -&gt; 0.4876 decimal.]</t>
        </is>
      </c>
      <c r="W216" s="2" t="n"/>
      <c r="X216" s="2" t="inlineStr">
        <is>
          <t>block_cave_underground</t>
        </is>
      </c>
      <c r="Y216" s="2" t="n"/>
      <c r="Z216" s="2" t="n"/>
      <c r="AA216" s="0" t="inlineStr">
        <is>
          <t>Cu concentrate + Au + Ag</t>
        </is>
      </c>
    </row>
    <row r="217" ht="15.75" customHeight="1" s="74">
      <c r="A217" s="2" t="inlineStr">
        <is>
          <t>Freeport-McMoRan Inc.</t>
        </is>
      </c>
      <c r="B217" s="2" t="inlineStr">
        <is>
          <t>US</t>
        </is>
      </c>
      <c r="C217" s="2" t="inlineStr">
        <is>
          <t>DMLZ (Deep Mill Level Zone) Underground</t>
        </is>
      </c>
      <c r="D217" s="2" t="inlineStr">
        <is>
          <t>mine</t>
        </is>
      </c>
      <c r="E217" s="2" t="inlineStr">
        <is>
          <t>ID</t>
        </is>
      </c>
      <c r="F217" s="2" t="inlineStr">
        <is>
          <t>Central Papua</t>
        </is>
      </c>
      <c r="G217" s="2" t="inlineStr">
        <is>
          <t>Tembagapura</t>
        </is>
      </c>
      <c r="H217" s="2" t="n">
        <v>-4.0533</v>
      </c>
      <c r="I217" s="2" t="n">
        <v>137.1156</v>
      </c>
      <c r="J217" s="2" t="inlineStr">
        <is>
          <t>operating</t>
        </is>
      </c>
      <c r="K217" s="2" t="inlineStr">
        <is>
          <t>Copper</t>
        </is>
      </c>
      <c r="L217" s="2" t="n">
        <v>64900</v>
      </c>
      <c r="M217" s="2" t="inlineStr">
        <is>
          <t>t/yr</t>
        </is>
      </c>
      <c r="N217" s="2" t="n">
        <v>94000</v>
      </c>
      <c r="O217" s="2" t="inlineStr">
        <is>
          <t>t Cu FY25 FCX share (normal ~112 kt/yr)</t>
        </is>
      </c>
      <c r="P217" s="2" t="inlineStr">
        <is>
          <t>TRUE</t>
        </is>
      </c>
      <c r="Q217" s="2" t="inlineStr">
        <is>
          <t>ore</t>
        </is>
      </c>
      <c r="R217" s="2" t="inlineStr">
        <is>
          <t>2603</t>
        </is>
      </c>
      <c r="S217" s="2" t="inlineStr">
        <is>
          <t>jv_partner</t>
        </is>
      </c>
      <c r="T217" s="2" t="n">
        <v>0.4876</v>
      </c>
      <c r="U217" s="2" t="inlineStr">
        <is>
          <t>https://www.sec.gov/Archives/edgar/data/831259/000083125926000012/fcx-20251231.htm</t>
        </is>
      </c>
      <c r="V217" s="2" t="inlineStr">
        <is>
          <t>DMLZ underground Cu-Au mine at 2,590m elevation. Downward continuation of Ertsberg East Skarn + Ertsberg porphyry mineralization. At Dec 31 2025: 174 open drawbells. AVG milling: 54,300 t/day 2025 vs 64,900 t/day 2024 (-16%). Hydraulic fracturing manages rock stress. RESTARTED late Oct 2025 after mud rush suspension (mud rush affected different area). PTFI ownership: FCX 48.76% + Mind ID 51.24%. | FY25 MILLING: 54,300 t/day avg (down from 64,900 t/day 2024 = -16%). Grade 1.10% Cu, 87.9% recovery. Restarted late Oct 2025 after mud rush suspension (mud rush affected different area). [stage normalized "mining"-&gt;"ore" 2026-07-07: mine convention, matches SCCO/Vale rows] [capacity detail: t ore milled/day (normal); ~112 kt Cu/yr FCX share] [PCT SCALE FIX 2026-07-10: ownership was 48.76 (percent scale) -&gt; 0.4876 decimal.]</t>
        </is>
      </c>
      <c r="W217" s="2" t="n"/>
      <c r="X217" s="2" t="inlineStr">
        <is>
          <t>block_cave_underground</t>
        </is>
      </c>
      <c r="Y217" s="2" t="n"/>
      <c r="Z217" s="2" t="n"/>
      <c r="AA217" s="0" t="inlineStr">
        <is>
          <t>Cu concentrate + Au + Ag</t>
        </is>
      </c>
    </row>
    <row r="218" ht="15.75" customHeight="1" s="74">
      <c r="A218" s="2" t="inlineStr">
        <is>
          <t>Freeport-McMoRan Inc.</t>
        </is>
      </c>
      <c r="B218" s="2" t="inlineStr">
        <is>
          <t>US</t>
        </is>
      </c>
      <c r="C218" s="2" t="inlineStr">
        <is>
          <t>Big Gossan Underground</t>
        </is>
      </c>
      <c r="D218" s="2" t="inlineStr">
        <is>
          <t>mine</t>
        </is>
      </c>
      <c r="E218" s="2" t="inlineStr">
        <is>
          <t>ID</t>
        </is>
      </c>
      <c r="F218" s="2" t="inlineStr">
        <is>
          <t>Central Papua</t>
        </is>
      </c>
      <c r="G218" s="2" t="inlineStr">
        <is>
          <t>Tembagapura</t>
        </is>
      </c>
      <c r="H218" s="2" t="n">
        <v>-4.0533</v>
      </c>
      <c r="I218" s="2" t="n">
        <v>137.1156</v>
      </c>
      <c r="J218" s="2" t="inlineStr">
        <is>
          <t>operating</t>
        </is>
      </c>
      <c r="K218" s="2" t="inlineStr">
        <is>
          <t>Copper</t>
        </is>
      </c>
      <c r="L218" s="2" t="n">
        <v>8000</v>
      </c>
      <c r="M218" s="2" t="inlineStr">
        <is>
          <t>t/yr</t>
        </is>
      </c>
      <c r="N218" s="2" t="n">
        <v>10300</v>
      </c>
      <c r="O218" s="2" t="inlineStr">
        <is>
          <t>t Cu FY25 FCX share (normal ~14 kt/yr)</t>
        </is>
      </c>
      <c r="P218" s="2" t="inlineStr">
        <is>
          <t>TRUE</t>
        </is>
      </c>
      <c r="Q218" s="2" t="inlineStr">
        <is>
          <t>ore</t>
        </is>
      </c>
      <c r="R218" s="2" t="inlineStr">
        <is>
          <t>2603</t>
        </is>
      </c>
      <c r="S218" s="2" t="inlineStr">
        <is>
          <t>jv_partner</t>
        </is>
      </c>
      <c r="T218" s="2" t="n">
        <v>0.4876</v>
      </c>
      <c r="U218" s="2" t="inlineStr">
        <is>
          <t>https://www.sec.gov/Archives/edgar/data/831259/000083125926000012/fcx-20251231.htm</t>
        </is>
      </c>
      <c r="V218" s="2" t="inlineStr">
        <is>
          <t>Big Gossan underground Cu-Au mine. Third of three commissioned Grasberg district underground mines (with Grasberg Block Cave + DMLZ). RESTARTED late Oct 2025 with DMLZ. PTFI ownership: FCX 48.76% + Mind ID 51.24%. | FY25 MILLING: 6,000 t/day avg (down from 8,000 t/day 2024 = -25%). Grade 1.10% Cu, 87.9% recovery. Smallest of 3 Grasberg district underground mines. Restarted late Oct 2025 with DMLZ after mud rush suspension. [stage normalized "mining"-&gt;"ore" 2026-07-07: mine convention, matches SCCO/Vale rows] [capacity detail: t ore milled/day (normal); ~14 kt Cu/yr FCX share] [PCT SCALE FIX 2026-07-10: ownership was 48.76 (percent scale) -&gt; 0.4876 decimal.]</t>
        </is>
      </c>
      <c r="W218" s="2" t="n"/>
      <c r="X218" s="2" t="inlineStr">
        <is>
          <t>underground_stope</t>
        </is>
      </c>
      <c r="Y218" s="2" t="n"/>
      <c r="Z218" s="2" t="n"/>
      <c r="AA218" s="0" t="inlineStr">
        <is>
          <t>Cu concentrate + Au + Ag</t>
        </is>
      </c>
    </row>
    <row r="219" ht="15.75" customHeight="1" s="74">
      <c r="A219" s="2" t="inlineStr">
        <is>
          <t>Freeport-McMoRan Inc.</t>
        </is>
      </c>
      <c r="B219" s="2" t="inlineStr">
        <is>
          <t>US</t>
        </is>
      </c>
      <c r="C219" s="2" t="inlineStr">
        <is>
          <t>PTFI Gresik Smelter</t>
        </is>
      </c>
      <c r="D219" s="2" t="inlineStr">
        <is>
          <t>smelter</t>
        </is>
      </c>
      <c r="E219" s="2" t="inlineStr">
        <is>
          <t>ID</t>
        </is>
      </c>
      <c r="F219" s="2" t="inlineStr">
        <is>
          <t>East Java</t>
        </is>
      </c>
      <c r="G219" s="2" t="inlineStr">
        <is>
          <t>Gresik</t>
        </is>
      </c>
      <c r="H219" s="2" t="n">
        <v>-7.1553</v>
      </c>
      <c r="I219" s="2" t="n">
        <v>112.6534</v>
      </c>
      <c r="J219" s="2" t="inlineStr">
        <is>
          <t>operating</t>
        </is>
      </c>
      <c r="K219" s="2" t="inlineStr">
        <is>
          <t>Copper</t>
        </is>
      </c>
      <c r="L219" s="2" t="n">
        <v>1700000</v>
      </c>
      <c r="M219" s="2" t="inlineStr">
        <is>
          <t>t/yr</t>
        </is>
      </c>
      <c r="N219" s="2" t="n">
        <v>54100</v>
      </c>
      <c r="O219" s="2" t="inlineStr">
        <is>
          <t>t Cu anode FY25 (Cu cathode 42.6 kt)</t>
        </is>
      </c>
      <c r="P219" s="2" t="inlineStr">
        <is>
          <t>TRUE</t>
        </is>
      </c>
      <c r="Q219" s="2" t="inlineStr">
        <is>
          <t>refined</t>
        </is>
      </c>
      <c r="R219" s="2" t="inlineStr">
        <is>
          <t>7402</t>
        </is>
      </c>
      <c r="S219" s="2" t="inlineStr">
        <is>
          <t>jv_partner</t>
        </is>
      </c>
      <c r="T219" s="2" t="n">
        <v>0.4876</v>
      </c>
      <c r="U219" s="2" t="inlineStr">
        <is>
          <t>https://www.sec.gov/Archives/edgar/data/831259/000083125926000012/fcx-20251231.htm</t>
        </is>
      </c>
      <c r="V219" s="2" t="inlineStr">
        <is>
          <t>PTFI's NEW Cu smelter in Gresik, East Java — COMPLETED 2025 (Row 128 event). Enabled PTFI transition from concentrate exporter to fully integrated refined Cu producer. Processes Grasberg district concentrate → Cu anode → cathode. Related PMR (Precious Metals Refinery) co-located for Au bars. Shipments deferred pending Q2/H2 2026 mine restart. Debt $3.2B on downstream facilities. PTFI ownership: FCX 48.76% + Mind ID 51.24%. | FY25 PRODUCTION FROM ITEM 7: Cu anode 54,100 t + Cu cathode 42,600 t. Design capacity 1.7 Mt/yr Cu concentrate processing. Post-Sept 2025 mud rush, shipments to smelter deferred pending H2 2026 mine restart. [stage normalized "smelting"-&gt;"refined" 2026-07-07: smelter output = metal (Al smelters -&gt; primary aluminum; Cu smelters at these rows integrated to cathode)] [capacity detail: t/yr Cu concentrate feed] [PCT SCALE FIX 2026-07-10: ownership was 48.76 (percent scale) -&gt; 0.4876 decimal.]</t>
        </is>
      </c>
      <c r="W219" s="2" t="n"/>
      <c r="X219" s="2" t="n"/>
      <c r="Y219" s="2" t="n"/>
      <c r="Z219" s="2" t="n"/>
      <c r="AA219" s="0" t="inlineStr">
        <is>
          <t>Refined Cu cathode 99.99% + Au bars</t>
        </is>
      </c>
    </row>
    <row r="220" ht="15.75" customHeight="1" s="74">
      <c r="A220" s="2" t="inlineStr">
        <is>
          <t>Freeport-McMoRan Inc.</t>
        </is>
      </c>
      <c r="B220" s="2" t="inlineStr">
        <is>
          <t>US</t>
        </is>
      </c>
      <c r="C220" s="2" t="inlineStr">
        <is>
          <t>PTFI Precious Metals Refinery (PMR)</t>
        </is>
      </c>
      <c r="D220" s="2" t="inlineStr">
        <is>
          <t>refinery</t>
        </is>
      </c>
      <c r="E220" s="2" t="inlineStr">
        <is>
          <t>ID</t>
        </is>
      </c>
      <c r="F220" s="2" t="inlineStr">
        <is>
          <t>East Java</t>
        </is>
      </c>
      <c r="G220" s="2" t="inlineStr">
        <is>
          <t>Gresik</t>
        </is>
      </c>
      <c r="H220" s="2" t="n">
        <v>-7.1553</v>
      </c>
      <c r="I220" s="2" t="n">
        <v>112.6534</v>
      </c>
      <c r="J220" s="2" t="inlineStr">
        <is>
          <t>operating</t>
        </is>
      </c>
      <c r="K220" s="2" t="inlineStr">
        <is>
          <t>Copper</t>
        </is>
      </c>
      <c r="L220" s="2" t="n"/>
      <c r="M220" s="2" t="n"/>
      <c r="N220" s="2" t="n">
        <v>1900</v>
      </c>
      <c r="O220" s="2" t="inlineStr">
        <is>
          <t>t anode slimes FY25</t>
        </is>
      </c>
      <c r="P220" s="2" t="inlineStr">
        <is>
          <t>TRUE</t>
        </is>
      </c>
      <c r="Q220" s="2" t="inlineStr">
        <is>
          <t>refined</t>
        </is>
      </c>
      <c r="R220" s="2" t="inlineStr">
        <is>
          <t>7402;7108</t>
        </is>
      </c>
      <c r="S220" s="2" t="inlineStr">
        <is>
          <t>jv_partner</t>
        </is>
      </c>
      <c r="T220" s="2" t="n">
        <v>0.4876</v>
      </c>
      <c r="U220" s="2" t="inlineStr">
        <is>
          <t>https://www.sec.gov/Archives/edgar/data/831259/000083125926000012/fcx-20251231.htm</t>
        </is>
      </c>
      <c r="V220" s="2" t="inlineStr">
        <is>
          <t>PTFI Precious Metals Refinery — COMPLETED 2025 co-located with Gresik smelter. Produces gold bars from anode slimes. Part of PTFI's downstream integration. FCX 48.76% + Mind ID 51.24%. | FY25 PRODUCTION FROM ITEM 7: PMR commenced Dec 2024, operated on limited basis FY25 primarily processing PT Smelting anode slimes = 1,900 t anode slimes. Design capacity refines from PTFI smelter + PT Smelting. [stage normalized "refining"-&gt;"refined" 2026-07-07: fallback for remaining refining rows] [PCT SCALE FIX 2026-07-10: ownership was 48.76 (percent scale) -&gt; 0.4876 decimal.]</t>
        </is>
      </c>
      <c r="W220" s="2" t="n"/>
      <c r="X220" s="2" t="n"/>
      <c r="Y220" s="2" t="n"/>
      <c r="Z220" s="2" t="n"/>
      <c r="AA220" s="0" t="inlineStr">
        <is>
          <t>Au refined bars + Ag</t>
        </is>
      </c>
    </row>
    <row r="221" ht="15.75" customHeight="1" s="74">
      <c r="A221" s="2" t="inlineStr">
        <is>
          <t>Freeport-McMoRan Inc.</t>
        </is>
      </c>
      <c r="B221" s="2" t="inlineStr">
        <is>
          <t>US</t>
        </is>
      </c>
      <c r="C221" s="2" t="inlineStr">
        <is>
          <t>PT Smelting</t>
        </is>
      </c>
      <c r="D221" s="2" t="inlineStr">
        <is>
          <t>smelter</t>
        </is>
      </c>
      <c r="E221" s="2" t="inlineStr">
        <is>
          <t>ID</t>
        </is>
      </c>
      <c r="F221" s="2" t="inlineStr">
        <is>
          <t>East Java</t>
        </is>
      </c>
      <c r="G221" s="2" t="inlineStr">
        <is>
          <t>Gresik</t>
        </is>
      </c>
      <c r="H221" s="2" t="n">
        <v>-7.1553</v>
      </c>
      <c r="I221" s="2" t="n">
        <v>112.6534</v>
      </c>
      <c r="J221" s="2" t="inlineStr">
        <is>
          <t>operating</t>
        </is>
      </c>
      <c r="K221" s="2" t="inlineStr">
        <is>
          <t>Copper</t>
        </is>
      </c>
      <c r="L221" s="2" t="n">
        <v>1300000</v>
      </c>
      <c r="M221" s="2" t="inlineStr">
        <is>
          <t>t/yr</t>
        </is>
      </c>
      <c r="N221" s="2" t="n">
        <v>230300</v>
      </c>
      <c r="O221" s="2" t="inlineStr">
        <is>
          <t>t Cu anode FY25 (Cu cathode 207.2 kt)</t>
        </is>
      </c>
      <c r="P221" s="2" t="inlineStr">
        <is>
          <t>FALSE</t>
        </is>
      </c>
      <c r="Q221" s="2" t="inlineStr">
        <is>
          <t>refined</t>
        </is>
      </c>
      <c r="R221" s="2" t="inlineStr">
        <is>
          <t>7402</t>
        </is>
      </c>
      <c r="S221" s="2" t="inlineStr">
        <is>
          <t>jv_partner</t>
        </is>
      </c>
      <c r="T221" s="2" t="n">
        <v>0.66</v>
      </c>
      <c r="U221" s="2" t="inlineStr">
        <is>
          <t>https://www.sec.gov/Archives/edgar/data/831259/000083125926000012/fcx-20251231.htm</t>
        </is>
      </c>
      <c r="V221" s="2" t="inlineStr">
        <is>
          <t>PT Smelting is PTFI's original 66%-owned Cu smelter and refinery JV with Mitsubishi Materials Corporation (34%). Historically processed a portion of PTFI Cu concentrate. Post-2025 downstream integration, feed source uncertain. | CAPACITY 1.3 Mt/yr Cu concentrate feed. FY25 production: Cu anode 230.3 kt + Cu cathode 207.2 kt. Down from FY24 (anode 398.2 kt + cathode 335.2 kt) due to Sept 2025 mud rush + July 2025 30-day planned maintenance turnaround + 3rd-party oxygen plant delay. PTFI OWNERSHIP INCREASED 39.5% → 66% effective June 30, 2024 (Row 146 event to be added). Mitsubishi Materials Corp holds remaining 34%. Restarted late Dec 2025 at reduced rates. [stage normalized "smelting"-&gt;"refined" 2026-07-07: smelter output = metal (Al smelters -&gt; primary aluminum; Cu smelters at these rows integrated to cathode)] [capacity detail: t/yr Cu concentrate feed] [PCT SCALE FIX 2026-07-10: ownership was 66 (percent scale) -&gt; 0.66 decimal.]</t>
        </is>
      </c>
      <c r="W221" s="2" t="n"/>
      <c r="X221" s="2" t="n"/>
      <c r="Y221" s="2" t="n"/>
      <c r="Z221" s="2" t="n"/>
      <c r="AA221" s="0" t="inlineStr">
        <is>
          <t>Refined Cu cathode</t>
        </is>
      </c>
    </row>
    <row r="222" ht="15.75" customHeight="1" s="74">
      <c r="A222" s="2" t="inlineStr">
        <is>
          <t>Freeport-McMoRan Inc.</t>
        </is>
      </c>
      <c r="B222" s="2" t="inlineStr">
        <is>
          <t>US</t>
        </is>
      </c>
      <c r="C222" s="2" t="inlineStr">
        <is>
          <t>Atlantic Copper Smelter (Huelva)</t>
        </is>
      </c>
      <c r="D222" s="2" t="inlineStr">
        <is>
          <t>smelter</t>
        </is>
      </c>
      <c r="E222" s="2" t="inlineStr">
        <is>
          <t>ES</t>
        </is>
      </c>
      <c r="F222" s="2" t="inlineStr">
        <is>
          <t>Andalusia</t>
        </is>
      </c>
      <c r="G222" s="2" t="inlineStr">
        <is>
          <t>Huelva</t>
        </is>
      </c>
      <c r="H222" s="2" t="n">
        <v>37.2571</v>
      </c>
      <c r="I222" s="2" t="n">
        <v>-6.9497</v>
      </c>
      <c r="J222" s="2" t="inlineStr">
        <is>
          <t>operating</t>
        </is>
      </c>
      <c r="K222" s="2" t="inlineStr">
        <is>
          <t>Copper</t>
        </is>
      </c>
      <c r="L222" s="2" t="n">
        <v>300000</v>
      </c>
      <c r="M222" s="2" t="inlineStr">
        <is>
          <t>t/yr</t>
        </is>
      </c>
      <c r="N222" s="2" t="n">
        <v>249300</v>
      </c>
      <c r="O222" s="2" t="inlineStr">
        <is>
          <t>t Cu anode FY25 (Cu cathode 249.6 kt)</t>
        </is>
      </c>
      <c r="P222" s="2" t="inlineStr">
        <is>
          <t>TRUE</t>
        </is>
      </c>
      <c r="Q222" s="2" t="inlineStr">
        <is>
          <t>refined</t>
        </is>
      </c>
      <c r="R222" s="2" t="inlineStr">
        <is>
          <t>7402</t>
        </is>
      </c>
      <c r="S222" s="2" t="inlineStr">
        <is>
          <t>operator</t>
        </is>
      </c>
      <c r="T222" s="2" t="n">
        <v>1</v>
      </c>
      <c r="U222" s="2" t="inlineStr">
        <is>
          <t>https://www.sec.gov/Archives/edgar/data/831259/000083125926000012/fcx-20251231.htm</t>
        </is>
      </c>
      <c r="V222" s="2" t="inlineStr">
        <is>
          <t>Atlantic Copper is FCX 100%-owned Cu smelter + refinery in Huelva Spain. Historically processed Grasberg + Cerro Verde concentrate. Post-2025 Grasberg concentrate no longer available (PTFI export license expired Sept 2025). Continues to process Cerro Verde concentrate + third-party feeds. EU CBAM potential exposure. | Design capacity: smelter 300 kt Cu/yr + refinery 286 kt Cu/yr. FY25 production: Cu anode 249.3 kt + Cu cathode 249.6 kt (basically at capacity). FY25 feed sources: 77% third-party purchased + 21% South America (Cerro Verde) + 2% US Cu. Land concessions from Huelva port authorities expire 2038. NEW E-MATERIAL RECYCLING PROJECT commissioning 2026 — $560M capex, adds smelting furnace + equipment for Cu/Au/Ag/Pd/Sn/Ni/Pt recovery from electronic waste. Maintenance turnarounds every ~8 years; last major 2024 (17-day). [stage normalized "smelting"-&gt;"refined" 2026-07-07: smelter output = metal (Al smelters -&gt; primary aluminum; Cu smelters at these rows integrated to cathode)] [capacity detail: t/yr Cu smelter (refinery 286 kt/yr)] [PCT SCALE FIX 2026-07-10: ownership was 100 (percent scale) -&gt; 1.0 decimal.]</t>
        </is>
      </c>
      <c r="W222" s="2" t="n"/>
      <c r="X222" s="2" t="n"/>
      <c r="Y222" s="2" t="n"/>
      <c r="Z222" s="2" t="n"/>
      <c r="AA222" s="0" t="inlineStr">
        <is>
          <t>Refined Cu cathode</t>
        </is>
      </c>
    </row>
    <row r="223" ht="15.75" customHeight="1" s="74">
      <c r="A223" s="0" t="inlineStr">
        <is>
          <t>Freeport-McMoRan Inc.</t>
        </is>
      </c>
      <c r="B223" s="0" t="inlineStr">
        <is>
          <t>US</t>
        </is>
      </c>
      <c r="C223" s="0" t="inlineStr">
        <is>
          <t>Kucing Liar Underground Mine</t>
        </is>
      </c>
      <c r="D223" s="0" t="inlineStr">
        <is>
          <t>mine</t>
        </is>
      </c>
      <c r="E223" s="0" t="inlineStr">
        <is>
          <t>ID</t>
        </is>
      </c>
      <c r="F223" s="0" t="inlineStr">
        <is>
          <t>Central Papua</t>
        </is>
      </c>
      <c r="G223" s="0" t="inlineStr">
        <is>
          <t>Tembagapura</t>
        </is>
      </c>
      <c r="H223" s="0" t="n">
        <v>-4.0533</v>
      </c>
      <c r="I223" s="0" t="n">
        <v>137.1156</v>
      </c>
      <c r="J223" s="0" t="inlineStr">
        <is>
          <t>planned</t>
        </is>
      </c>
      <c r="K223" s="0" t="inlineStr">
        <is>
          <t>Copper</t>
        </is>
      </c>
      <c r="L223" s="0" t="n">
        <v>130000</v>
      </c>
      <c r="M223" s="0" t="inlineStr">
        <is>
          <t>t/yr</t>
        </is>
      </c>
      <c r="P223" s="0" t="inlineStr">
        <is>
          <t>TRUE</t>
        </is>
      </c>
      <c r="Q223" s="0" t="inlineStr">
        <is>
          <t>ore</t>
        </is>
      </c>
      <c r="R223" s="0" t="inlineStr">
        <is>
          <t>2603</t>
        </is>
      </c>
      <c r="S223" s="0" t="inlineStr">
        <is>
          <t>jv_partner</t>
        </is>
      </c>
      <c r="T223" s="0" t="n">
        <v>0.4876</v>
      </c>
      <c r="U223" s="0" t="inlineStr">
        <is>
          <t>https://www.sec.gov/Archives/edgar/data/831259/000083125926000012/fcx-20251231.htm</t>
        </is>
      </c>
      <c r="V223" s="0" t="inlineStr">
        <is>
          <t>Kucing Liar Underground Mine — DEVELOPMENT STAGE Grasberg minerals district Indonesia. Long-term mine development since 2022. During 2025 FCX completed studies to EXPAND footprint from 90,000 t/day to 130,000 t/day design (44% capacity increase). Reserves increased to 8 Blb Cu + 8 Moz Au (from prior 7 Blb Cu + 6 Moz Au). At full design rates ~750 Mlb Cu/yr + 735 koz Au/yr = ~340 kt Cu/yr (100% basis) or ~166 kt Cu/yr FCX share. Total capex incurred to Dec 31 2025: $1.1B; estimated ADDITIONAL $4B through 2033 (averaging ~$0.5B/yr). INITIAL PRODUCTION 2030 timeframe. PTFI ownership FCX 48.76% + Mind ID 51.24%. Same IUPK structure as other Grasberg district mines — critical to IUPK 2041 extension outcome (Row 141 event). [stage normalized "mining"-&gt;"ore" 2026-07-07: mine convention, matches SCCO/Vale rows] [status normalized "development"-&gt;"planned" 2026-07-07] [capacity detail: t ore/day (design)] [PCT SCALE FIX 2026-07-10: ownership was 48.76 (percent scale) -&gt; 0.4876 decimal.]</t>
        </is>
      </c>
      <c r="X223" s="0" t="inlineStr">
        <is>
          <t>block_cave_underground_planned</t>
        </is>
      </c>
      <c r="AA223" s="0" t="inlineStr">
        <is>
          <t>Cu concentrate + Au + Ag (planned)</t>
        </is>
      </c>
    </row>
    <row r="224" ht="15.75" customHeight="1" s="74">
      <c r="A224" s="0" t="inlineStr">
        <is>
          <t>Southern Copper Corporation</t>
        </is>
      </c>
      <c r="B224" s="0" t="inlineStr">
        <is>
          <t>US</t>
        </is>
      </c>
      <c r="C224" s="0" t="inlineStr">
        <is>
          <t>Toquepala Mine &amp; Concentrators</t>
        </is>
      </c>
      <c r="D224" s="0" t="inlineStr">
        <is>
          <t>mine</t>
        </is>
      </c>
      <c r="E224" s="0" t="inlineStr">
        <is>
          <t>PE</t>
        </is>
      </c>
      <c r="F224" s="0" t="inlineStr">
        <is>
          <t>Tacna</t>
        </is>
      </c>
      <c r="G224" s="0" t="inlineStr">
        <is>
          <t>Toquepala</t>
        </is>
      </c>
      <c r="H224" s="0" t="n">
        <v>-17.27</v>
      </c>
      <c r="I224" s="0" t="n">
        <v>-70.59999999999999</v>
      </c>
      <c r="J224" s="0" t="inlineStr">
        <is>
          <t>operating</t>
        </is>
      </c>
      <c r="K224" s="0" t="inlineStr">
        <is>
          <t>Copper</t>
        </is>
      </c>
      <c r="N224" s="0" t="n">
        <v>248400</v>
      </c>
      <c r="O224" s="0" t="inlineStr">
        <is>
          <t>mt Cu mined/yr (FY2025, 547.6M lb)</t>
        </is>
      </c>
      <c r="P224" s="0" t="b">
        <v>1</v>
      </c>
      <c r="Q224" s="0" t="inlineStr">
        <is>
          <t>ore</t>
        </is>
      </c>
      <c r="R224" s="0" t="inlineStr">
        <is>
          <t>2603.00</t>
        </is>
      </c>
      <c r="S224" s="0" t="inlineStr">
        <is>
          <t>operator</t>
        </is>
      </c>
      <c r="T224" s="0" t="n">
        <v>1</v>
      </c>
      <c r="U224" s="0" t="inlineStr">
        <is>
          <t>https://www.sec.gov/Archives/edgar/data/1001838/000110465926021492/scco-20251231x10k.htm</t>
        </is>
      </c>
      <c r="V224" s="0" t="inlineStr">
        <is>
          <t>[FY2025 10-K Key Production Capacity Data table] Coordinates approximate (not from filing) - verify. Open pit, 120 ktpd milling (ran 105.5%). Mo by-product (+18.2% FY2025). Reserves: Mill 1,740.3Mt @0.53% Cu P+P; Leach 2,632.6Mt @0.16%. Tailings to Quebrada Honda dam (148m, downstream). Mo capacity 2,000 t/yr concentrate.</t>
        </is>
      </c>
      <c r="X224" s="0" t="inlineStr">
        <is>
          <t>open_pit</t>
        </is>
      </c>
      <c r="AA224"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By-product Mo: Alloy steel toughening, tungsten alloy softening; fertilizers, dyes, enamels, reagents. [10-K Item 1, commodity-level]</t>
        </is>
      </c>
    </row>
    <row r="225" ht="15.75" customHeight="1" s="74">
      <c r="A225" s="0" t="inlineStr">
        <is>
          <t>Southern Copper Corporation</t>
        </is>
      </c>
      <c r="B225" s="0" t="inlineStr">
        <is>
          <t>US</t>
        </is>
      </c>
      <c r="C225" s="0" t="inlineStr">
        <is>
          <t>Toquepala SX-EW Plant</t>
        </is>
      </c>
      <c r="D225" s="0" t="inlineStr">
        <is>
          <t>processing</t>
        </is>
      </c>
      <c r="E225" s="0" t="inlineStr">
        <is>
          <t>PE</t>
        </is>
      </c>
      <c r="F225" s="0" t="inlineStr">
        <is>
          <t>Tacna</t>
        </is>
      </c>
      <c r="G225" s="0" t="inlineStr">
        <is>
          <t>Toquepala</t>
        </is>
      </c>
      <c r="H225" s="0" t="n">
        <v>-17.27</v>
      </c>
      <c r="I225" s="0" t="n">
        <v>-70.59999999999999</v>
      </c>
      <c r="J225" s="0" t="inlineStr">
        <is>
          <t>operating</t>
        </is>
      </c>
      <c r="K225" s="0" t="inlineStr">
        <is>
          <t>Copper</t>
        </is>
      </c>
      <c r="L225" s="0" t="n">
        <v>56300</v>
      </c>
      <c r="M225" s="0" t="inlineStr">
        <is>
          <t>t/yr</t>
        </is>
      </c>
      <c r="N225" s="0" t="n">
        <v>23500</v>
      </c>
      <c r="O225" s="0" t="inlineStr">
        <is>
          <t>mt Cu cathode/yr (FY2025, 41.7% util)</t>
        </is>
      </c>
      <c r="P225" s="0" t="b">
        <v>1</v>
      </c>
      <c r="Q225" s="0" t="inlineStr">
        <is>
          <t>refined</t>
        </is>
      </c>
      <c r="R225" s="0" t="inlineStr">
        <is>
          <t>7403.00</t>
        </is>
      </c>
      <c r="S225" s="0" t="inlineStr">
        <is>
          <t>operator</t>
        </is>
      </c>
      <c r="T225" s="0" t="n">
        <v>1</v>
      </c>
      <c r="U225" s="0" t="inlineStr">
        <is>
          <t>https://www.sec.gov/Archives/edgar/data/1001838/000110465926021492/scco-20251231x10k.htm</t>
        </is>
      </c>
      <c r="V225" s="0" t="inlineStr">
        <is>
          <t>[FY2025 10-K Key Production Capacity Data table] Coordinates approximate (not from filing) - verify. LME grade A cathodes. Low utilization 41.7%. [capacity detail: mt Cu cathode/yr]</t>
        </is>
      </c>
      <c r="AA225"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t>
        </is>
      </c>
    </row>
    <row r="226" ht="15.75" customHeight="1" s="74">
      <c r="A226" s="0" t="inlineStr">
        <is>
          <t>Southern Copper Corporation</t>
        </is>
      </c>
      <c r="B226" s="0" t="inlineStr">
        <is>
          <t>US</t>
        </is>
      </c>
      <c r="C226" s="0" t="inlineStr">
        <is>
          <t>Cuajone Mine &amp; Concentrator</t>
        </is>
      </c>
      <c r="D226" s="0" t="inlineStr">
        <is>
          <t>mine</t>
        </is>
      </c>
      <c r="E226" s="0" t="inlineStr">
        <is>
          <t>PE</t>
        </is>
      </c>
      <c r="F226" s="0" t="inlineStr">
        <is>
          <t>Moquegua</t>
        </is>
      </c>
      <c r="G226" s="0" t="inlineStr">
        <is>
          <t>Cuajone</t>
        </is>
      </c>
      <c r="H226" s="0" t="n">
        <v>-17.04</v>
      </c>
      <c r="I226" s="0" t="n">
        <v>-70.7</v>
      </c>
      <c r="J226" s="0" t="inlineStr">
        <is>
          <t>operating</t>
        </is>
      </c>
      <c r="K226" s="0" t="inlineStr">
        <is>
          <t>Copper</t>
        </is>
      </c>
      <c r="N226" s="0" t="n">
        <v>162800</v>
      </c>
      <c r="O226" s="0" t="inlineStr">
        <is>
          <t>mt Cu mined/yr (FY2025, 358.8M lb)</t>
        </is>
      </c>
      <c r="P226" s="0" t="b">
        <v>1</v>
      </c>
      <c r="Q226" s="0" t="inlineStr">
        <is>
          <t>ore</t>
        </is>
      </c>
      <c r="R226" s="0" t="inlineStr">
        <is>
          <t>2603.00</t>
        </is>
      </c>
      <c r="S226" s="0" t="inlineStr">
        <is>
          <t>operator</t>
        </is>
      </c>
      <c r="T226" s="0" t="n">
        <v>1</v>
      </c>
      <c r="U226" s="0" t="inlineStr">
        <is>
          <t>https://www.sec.gov/Archives/edgar/data/1001838/000110465926021492/scco-20251231x10k.htm</t>
        </is>
      </c>
      <c r="V226" s="0" t="inlineStr">
        <is>
          <t>[FY2025 10-K Key Production Capacity Data table] Coordinates approximate (not from filing) - verify. Open pit, 90 ktpd milling (95.1%). Reserves: Mill 1,463.3Mt @0.47% Cu P+P. Shares Quebrada Honda tailings dam. Pasto Grande lawsuit seeks demolition of tailings dam (pending).</t>
        </is>
      </c>
      <c r="X226" s="0" t="inlineStr">
        <is>
          <t>open_pit</t>
        </is>
      </c>
      <c r="AA226"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By-product Mo: Alloy steel toughening, tungsten alloy softening; fertilizers, dyes, enamels, reagents. [10-K Item 1, commodity-level]</t>
        </is>
      </c>
    </row>
    <row r="227" ht="15.75" customHeight="1" s="74">
      <c r="A227" s="0" t="inlineStr">
        <is>
          <t>Southern Copper Corporation</t>
        </is>
      </c>
      <c r="B227" s="0" t="inlineStr">
        <is>
          <t>US</t>
        </is>
      </c>
      <c r="C227" s="0" t="inlineStr">
        <is>
          <t>Ilo Smelter &amp; Refinery Complex</t>
        </is>
      </c>
      <c r="D227" s="0" t="inlineStr">
        <is>
          <t>smelter</t>
        </is>
      </c>
      <c r="E227" s="0" t="inlineStr">
        <is>
          <t>PE</t>
        </is>
      </c>
      <c r="F227" s="0" t="inlineStr">
        <is>
          <t>Moquegua</t>
        </is>
      </c>
      <c r="G227" s="0" t="inlineStr">
        <is>
          <t>Ilo</t>
        </is>
      </c>
      <c r="H227" s="0" t="n">
        <v>-17.64</v>
      </c>
      <c r="I227" s="0" t="n">
        <v>-71.34</v>
      </c>
      <c r="J227" s="0" t="inlineStr">
        <is>
          <t>operating</t>
        </is>
      </c>
      <c r="K227" s="0" t="inlineStr">
        <is>
          <t>Copper</t>
        </is>
      </c>
      <c r="L227" s="0" t="n">
        <v>294800</v>
      </c>
      <c r="M227" s="0" t="inlineStr">
        <is>
          <t>t/yr</t>
        </is>
      </c>
      <c r="N227" s="0" t="n">
        <v>244200</v>
      </c>
      <c r="O227" s="0" t="inlineStr">
        <is>
          <t>mt Cu cathode/yr (FY2025)</t>
        </is>
      </c>
      <c r="P227" s="0" t="b">
        <v>1</v>
      </c>
      <c r="Q227" s="0" t="inlineStr">
        <is>
          <t>refined</t>
        </is>
      </c>
      <c r="R227" s="0" t="inlineStr">
        <is>
          <t>7403.00</t>
        </is>
      </c>
      <c r="S227" s="0" t="inlineStr">
        <is>
          <t>operator</t>
        </is>
      </c>
      <c r="T227" s="0" t="n">
        <v>1</v>
      </c>
      <c r="U227" s="0" t="inlineStr">
        <is>
          <t>https://www.sec.gov/Archives/edgar/data/1001838/000110465926021492/scco-20251231x10k.htm</t>
        </is>
      </c>
      <c r="V227" s="0" t="inlineStr">
        <is>
          <t>[FY2025 10-K Key Production Capacity Data table] Coordinates approximate (not from filing) - verify. Smelter fed 1,040.7 kt concentrate (75.6%). Acid plants 1,354.9 ktpy (produced 976.5 kt). Precious metals refinery 460 tpy slime (Ag/Au). Electric cogeneration project underway. [capacity detail: mt Cu cathode/yr (refinery); smelter 1,376.1 ktpy concentrate feed]</t>
        </is>
      </c>
      <c r="AA227"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Also refined Ag/Au (precious metals plant) + sulfuric acid sold to mining/fertilizer customers in MX/PE/US/CL.</t>
        </is>
      </c>
    </row>
    <row r="228" ht="15.75" customHeight="1" s="74">
      <c r="A228" s="0" t="inlineStr">
        <is>
          <t>Southern Copper Corporation</t>
        </is>
      </c>
      <c r="B228" s="0" t="inlineStr">
        <is>
          <t>US</t>
        </is>
      </c>
      <c r="C228" s="0" t="inlineStr">
        <is>
          <t>Buenavista Mine &amp; Concentrators</t>
        </is>
      </c>
      <c r="D228" s="0" t="inlineStr">
        <is>
          <t>mine</t>
        </is>
      </c>
      <c r="E228" s="0" t="inlineStr">
        <is>
          <t>MX</t>
        </is>
      </c>
      <c r="F228" s="0" t="inlineStr">
        <is>
          <t>Sonora</t>
        </is>
      </c>
      <c r="G228" s="0" t="inlineStr">
        <is>
          <t>Cananea</t>
        </is>
      </c>
      <c r="H228" s="0" t="n">
        <v>31</v>
      </c>
      <c r="I228" s="0" t="n">
        <v>-110.3</v>
      </c>
      <c r="J228" s="0" t="inlineStr">
        <is>
          <t>operating</t>
        </is>
      </c>
      <c r="K228" s="0" t="inlineStr">
        <is>
          <t>Copper</t>
        </is>
      </c>
      <c r="N228" s="0" t="n">
        <v>414500</v>
      </c>
      <c r="O228" s="0" t="inlineStr">
        <is>
          <t>mt Cu mined/yr (FY2025, 913.8M lb)</t>
        </is>
      </c>
      <c r="P228" s="0" t="b">
        <v>1</v>
      </c>
      <c r="Q228" s="0" t="inlineStr">
        <is>
          <t>ore</t>
        </is>
      </c>
      <c r="R228" s="0" t="inlineStr">
        <is>
          <t>2603.00</t>
        </is>
      </c>
      <c r="S228" s="0" t="inlineStr">
        <is>
          <t>operator</t>
        </is>
      </c>
      <c r="T228" s="0" t="n">
        <v>1</v>
      </c>
      <c r="U228" s="0" t="inlineStr">
        <is>
          <t>https://www.sec.gov/Archives/edgar/data/1001838/000110465926021492/scco-20251231x10k.htm</t>
        </is>
      </c>
      <c r="V228" s="0" t="inlineStr">
        <is>
          <t>[FY2025 10-K Key Production Capacity Data table] Coordinates approximate (not from filing) - verify. One of world-largest Cu deposits. Concentrator I 86 ktpd + Concentrator II 120 ktpd. Reserves: Sulfides 2,246Mt @0.44% P+P; Leach 2,003.9Mt @0.26%. New tailings dam $252M capex 2025 (118m). Site of 2014 Cu-sulfate spill - Sonora River litigation ongoing (40+ civil suits pending, criminal complaints 2014 dismissed/appealed + new SEMARNAT complaint Oct 2023).</t>
        </is>
      </c>
      <c r="X228" s="0" t="inlineStr">
        <is>
          <t>open_pit</t>
        </is>
      </c>
      <c r="AA228"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t>
        </is>
      </c>
    </row>
    <row r="229" ht="15.75" customHeight="1" s="74">
      <c r="A229" s="0" t="inlineStr">
        <is>
          <t>Southern Copper Corporation</t>
        </is>
      </c>
      <c r="B229" s="0" t="inlineStr">
        <is>
          <t>US</t>
        </is>
      </c>
      <c r="C229" s="0" t="inlineStr">
        <is>
          <t>Buenavista Zinc Concentrator</t>
        </is>
      </c>
      <c r="D229" s="0" t="inlineStr">
        <is>
          <t>processing</t>
        </is>
      </c>
      <c r="E229" s="0" t="inlineStr">
        <is>
          <t>MX</t>
        </is>
      </c>
      <c r="F229" s="0" t="inlineStr">
        <is>
          <t>Sonora</t>
        </is>
      </c>
      <c r="G229" s="0" t="inlineStr">
        <is>
          <t>Cananea</t>
        </is>
      </c>
      <c r="H229" s="0" t="n">
        <v>31</v>
      </c>
      <c r="I229" s="0" t="n">
        <v>-110.3</v>
      </c>
      <c r="J229" s="0" t="inlineStr">
        <is>
          <t>operating</t>
        </is>
      </c>
      <c r="K229" s="0" t="inlineStr">
        <is>
          <t>Zinc</t>
        </is>
      </c>
      <c r="M229" s="0" t="inlineStr">
        <is>
          <t>other</t>
        </is>
      </c>
      <c r="N229" s="0" t="n">
        <v>116700</v>
      </c>
      <c r="O229" s="0" t="inlineStr">
        <is>
          <t>mt Zn/yr (FY2025, 257.4M lb, +81.6%)</t>
        </is>
      </c>
      <c r="P229" s="0" t="b">
        <v>1</v>
      </c>
      <c r="Q229" s="0" t="inlineStr">
        <is>
          <t>intermediate</t>
        </is>
      </c>
      <c r="R229" s="0" t="inlineStr">
        <is>
          <t>2608.00</t>
        </is>
      </c>
      <c r="S229" s="0" t="inlineStr">
        <is>
          <t>operator</t>
        </is>
      </c>
      <c r="T229" s="0" t="n">
        <v>1</v>
      </c>
      <c r="U229" s="0" t="inlineStr">
        <is>
          <t>https://www.sec.gov/Archives/edgar/data/1001838/000110465926021492/scco-20251231x10k.htm</t>
        </is>
      </c>
      <c r="V229" s="0" t="inlineStr">
        <is>
          <t>[FY2025 10-K Key Production Capacity Data table] Coordinates approximate (not from filing) - verify. Reached full capacity 2025 - drove group Zn +36.1%. Zn reserves 274.7Mt @0.53%. Dedicated concentrator (Concentrator I now fully on zinc). [capacity detail: 20 ktpd milling]</t>
        </is>
      </c>
      <c r="AA229" s="0" t="inlineStr">
        <is>
          <t>Primarily galvanizing (corrosion coating on iron/steel); die-cast parts, BATTERY manufacture, architectural sheet, brass alloying. [10-K Item 1, commodity-level]</t>
        </is>
      </c>
    </row>
    <row r="230" ht="15.75" customHeight="1" s="74">
      <c r="A230" s="0" t="inlineStr">
        <is>
          <t>Southern Copper Corporation</t>
        </is>
      </c>
      <c r="B230" s="0" t="inlineStr">
        <is>
          <t>US</t>
        </is>
      </c>
      <c r="C230" s="0" t="inlineStr">
        <is>
          <t>Buenavista SX-EW Plants I-III</t>
        </is>
      </c>
      <c r="D230" s="0" t="inlineStr">
        <is>
          <t>processing</t>
        </is>
      </c>
      <c r="E230" s="0" t="inlineStr">
        <is>
          <t>MX</t>
        </is>
      </c>
      <c r="F230" s="0" t="inlineStr">
        <is>
          <t>Sonora</t>
        </is>
      </c>
      <c r="G230" s="0" t="inlineStr">
        <is>
          <t>Cananea</t>
        </is>
      </c>
      <c r="H230" s="0" t="n">
        <v>31</v>
      </c>
      <c r="I230" s="0" t="n">
        <v>-110.3</v>
      </c>
      <c r="J230" s="0" t="inlineStr">
        <is>
          <t>operating</t>
        </is>
      </c>
      <c r="K230" s="0" t="inlineStr">
        <is>
          <t>Copper</t>
        </is>
      </c>
      <c r="L230" s="0" t="n">
        <v>174800</v>
      </c>
      <c r="M230" s="0" t="inlineStr">
        <is>
          <t>t/yr</t>
        </is>
      </c>
      <c r="N230" s="0" t="n">
        <v>91800</v>
      </c>
      <c r="O230" s="0" t="inlineStr">
        <is>
          <t>mt Cu cathode/yr (FY2025: II 25.6kt + III 66.2kt; Plant I idle)</t>
        </is>
      </c>
      <c r="P230" s="0" t="b">
        <v>1</v>
      </c>
      <c r="Q230" s="0" t="inlineStr">
        <is>
          <t>refined</t>
        </is>
      </c>
      <c r="R230" s="0" t="inlineStr">
        <is>
          <t>7403.00</t>
        </is>
      </c>
      <c r="S230" s="0" t="inlineStr">
        <is>
          <t>operator</t>
        </is>
      </c>
      <c r="T230" s="0" t="n">
        <v>1</v>
      </c>
      <c r="U230" s="0" t="inlineStr">
        <is>
          <t>https://www.sec.gov/Archives/edgar/data/1001838/000110465926021492/scco-20251231x10k.htm</t>
        </is>
      </c>
      <c r="V230" s="0" t="inlineStr">
        <is>
          <t>[FY2025 10-K Key Production Capacity Data table] Coordinates approximate (not from filing) - verify. Plant I (11 ktpy) at zero production FY2025. [capacity detail: mt Cu cathode/yr (I:11 + II:43.8 + III:120 ktpy)]</t>
        </is>
      </c>
      <c r="AA230"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t>
        </is>
      </c>
    </row>
    <row r="231" ht="15.75" customHeight="1" s="74">
      <c r="A231" s="0" t="inlineStr">
        <is>
          <t>Southern Copper Corporation</t>
        </is>
      </c>
      <c r="B231" s="0" t="inlineStr">
        <is>
          <t>US</t>
        </is>
      </c>
      <c r="C231" s="0" t="inlineStr">
        <is>
          <t>La Caridad Mine &amp; Concentrator</t>
        </is>
      </c>
      <c r="D231" s="0" t="inlineStr">
        <is>
          <t>mine</t>
        </is>
      </c>
      <c r="E231" s="0" t="inlineStr">
        <is>
          <t>MX</t>
        </is>
      </c>
      <c r="F231" s="0" t="inlineStr">
        <is>
          <t>Sonora</t>
        </is>
      </c>
      <c r="G231" s="0" t="inlineStr">
        <is>
          <t>Nacozari</t>
        </is>
      </c>
      <c r="H231" s="0" t="n">
        <v>30.34</v>
      </c>
      <c r="I231" s="0" t="n">
        <v>-109.6</v>
      </c>
      <c r="J231" s="0" t="inlineStr">
        <is>
          <t>operating</t>
        </is>
      </c>
      <c r="K231" s="0" t="inlineStr">
        <is>
          <t>Copper</t>
        </is>
      </c>
      <c r="N231" s="0" t="n">
        <v>120400</v>
      </c>
      <c r="O231" s="0" t="inlineStr">
        <is>
          <t>mt Cu mined/yr (FY2025, 265.4M lb)</t>
        </is>
      </c>
      <c r="P231" s="0" t="b">
        <v>1</v>
      </c>
      <c r="Q231" s="0" t="inlineStr">
        <is>
          <t>ore</t>
        </is>
      </c>
      <c r="R231" s="0" t="inlineStr">
        <is>
          <t>2603.00</t>
        </is>
      </c>
      <c r="S231" s="0" t="inlineStr">
        <is>
          <t>operator</t>
        </is>
      </c>
      <c r="T231" s="0" t="n">
        <v>1</v>
      </c>
      <c r="U231" s="0" t="inlineStr">
        <is>
          <t>https://www.sec.gov/Archives/edgar/data/1001838/000110465926021492/scco-20251231x10k.htm</t>
        </is>
      </c>
      <c r="V231" s="0" t="inlineStr">
        <is>
          <t>[FY2025 10-K Key Production Capacity Data table] Coordinates approximate (not from filing) - verify. 94.5 ktpd milling (101.6%). Reserves: Mill 1,899.3Mt @0.22% P+P. SX-EW 21.9 ktpy (produced 24.2kt). Mo grade 0.037% - largest Mo reserve base. Tailings dam #7 (186m).</t>
        </is>
      </c>
      <c r="X231" s="0" t="inlineStr">
        <is>
          <t>open_pit</t>
        </is>
      </c>
      <c r="AA231"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By-product Mo: Alloy steel toughening, tungsten alloy softening; fertilizers, dyes, enamels, reagents. [10-K Item 1, commodity-level]</t>
        </is>
      </c>
    </row>
    <row r="232" ht="15.75" customHeight="1" s="74">
      <c r="A232" s="0" t="inlineStr">
        <is>
          <t>Southern Copper Corporation</t>
        </is>
      </c>
      <c r="B232" s="0" t="inlineStr">
        <is>
          <t>US</t>
        </is>
      </c>
      <c r="C232" s="0" t="inlineStr">
        <is>
          <t>La Caridad Smelter, Refinery &amp; Rod Plant</t>
        </is>
      </c>
      <c r="D232" s="0" t="inlineStr">
        <is>
          <t>smelter</t>
        </is>
      </c>
      <c r="E232" s="0" t="inlineStr">
        <is>
          <t>MX</t>
        </is>
      </c>
      <c r="F232" s="0" t="inlineStr">
        <is>
          <t>Sonora</t>
        </is>
      </c>
      <c r="G232" s="0" t="inlineStr">
        <is>
          <t>Nacozari</t>
        </is>
      </c>
      <c r="H232" s="0" t="n">
        <v>30.34</v>
      </c>
      <c r="I232" s="0" t="n">
        <v>-109.6</v>
      </c>
      <c r="J232" s="0" t="inlineStr">
        <is>
          <t>operating</t>
        </is>
      </c>
      <c r="K232" s="0" t="inlineStr">
        <is>
          <t>Copper</t>
        </is>
      </c>
      <c r="L232" s="0" t="n">
        <v>300000</v>
      </c>
      <c r="M232" s="0" t="inlineStr">
        <is>
          <t>t/yr</t>
        </is>
      </c>
      <c r="N232" s="0" t="n">
        <v>227800</v>
      </c>
      <c r="O232" s="0" t="inlineStr">
        <is>
          <t>mt Cu cathode/yr (FY2025)</t>
        </is>
      </c>
      <c r="P232" s="0" t="b">
        <v>1</v>
      </c>
      <c r="Q232" s="0" t="inlineStr">
        <is>
          <t>refined</t>
        </is>
      </c>
      <c r="R232" s="0" t="inlineStr">
        <is>
          <t>7403.00</t>
        </is>
      </c>
      <c r="S232" s="0" t="inlineStr">
        <is>
          <t>operator</t>
        </is>
      </c>
      <c r="T232" s="0" t="n">
        <v>1</v>
      </c>
      <c r="U232" s="0" t="inlineStr">
        <is>
          <t>https://www.sec.gov/Archives/edgar/data/1001838/000110465926021492/scco-20251231x10k.htm</t>
        </is>
      </c>
      <c r="V232" s="0" t="inlineStr">
        <is>
          <t>[FY2025 10-K Key Production Capacity Data table] Coordinates approximate (not from filing) - verify. Smelter ran 102.1% (1,021.2 kt). Rod plant 150 ktpy (produced 157.1 kt). Acid plant 1,565.5 ktpy. Precious metals refinery 1.8 ktpy slime. [capacity detail: mt Cu cathode/yr (refinery); smelter 1,000 ktpy concentrate feed]</t>
        </is>
      </c>
      <c r="AA232" s="0" t="inlineStr">
        <is>
          <t>Copper rod for wire &amp; cable drawing (La Caridad rod plant 150 ktpy). 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Also Ag/Au refining + sulfuric acid sales.</t>
        </is>
      </c>
    </row>
    <row r="233" ht="15.75" customHeight="1" s="74">
      <c r="A233" s="0" t="inlineStr">
        <is>
          <t>Southern Copper Corporation</t>
        </is>
      </c>
      <c r="B233" s="0" t="inlineStr">
        <is>
          <t>US</t>
        </is>
      </c>
      <c r="C233" s="0" t="inlineStr">
        <is>
          <t>Pilares Mine</t>
        </is>
      </c>
      <c r="D233" s="0" t="inlineStr">
        <is>
          <t>mine</t>
        </is>
      </c>
      <c r="E233" s="0" t="inlineStr">
        <is>
          <t>MX</t>
        </is>
      </c>
      <c r="F233" s="0" t="inlineStr">
        <is>
          <t>Sonora</t>
        </is>
      </c>
      <c r="G233" s="0" t="inlineStr">
        <is>
          <t>Nacozari</t>
        </is>
      </c>
      <c r="H233" s="0" t="n">
        <v>30.36</v>
      </c>
      <c r="I233" s="0" t="n">
        <v>-109.58</v>
      </c>
      <c r="J233" s="0" t="inlineStr">
        <is>
          <t>operating</t>
        </is>
      </c>
      <c r="K233" s="0" t="inlineStr">
        <is>
          <t>Copper</t>
        </is>
      </c>
      <c r="P233" s="0" t="b">
        <v>1</v>
      </c>
      <c r="Q233" s="0" t="inlineStr">
        <is>
          <t>ore</t>
        </is>
      </c>
      <c r="R233" s="0" t="inlineStr">
        <is>
          <t>2603.00</t>
        </is>
      </c>
      <c r="S233" s="0" t="inlineStr">
        <is>
          <t>operator</t>
        </is>
      </c>
      <c r="T233" s="0" t="n">
        <v>1</v>
      </c>
      <c r="U233" s="0" t="inlineStr">
        <is>
          <t>https://www.sec.gov/Archives/edgar/data/1001838/000110465926021492/scco-20251231x10k.htm</t>
        </is>
      </c>
      <c r="V233" s="0" t="inlineStr">
        <is>
          <t>[FY2025 10-K Key Production Capacity Data table] Coordinates approximate (not from filing) - verify. Satellite open pit ~6km from La Caridad; ore trucked to La Caridad concentrator (production counted in La Caridad). Reserves 22.3Mt @0.80% Cu (highest grade in portfolio).</t>
        </is>
      </c>
      <c r="X233" s="0" t="inlineStr">
        <is>
          <t>open_pit</t>
        </is>
      </c>
      <c r="AA233"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t>
        </is>
      </c>
    </row>
    <row r="234" ht="15.75" customHeight="1" s="74">
      <c r="A234" s="0" t="inlineStr">
        <is>
          <t>Southern Copper Corporation</t>
        </is>
      </c>
      <c r="B234" s="0" t="inlineStr">
        <is>
          <t>US</t>
        </is>
      </c>
      <c r="C234" s="0" t="inlineStr">
        <is>
          <t>IMMSA Charcas Mine</t>
        </is>
      </c>
      <c r="D234" s="0" t="inlineStr">
        <is>
          <t>mine</t>
        </is>
      </c>
      <c r="E234" s="0" t="inlineStr">
        <is>
          <t>MX</t>
        </is>
      </c>
      <c r="F234" s="0" t="inlineStr">
        <is>
          <t>San Luis Potosi</t>
        </is>
      </c>
      <c r="G234" s="0" t="inlineStr">
        <is>
          <t>Charcas</t>
        </is>
      </c>
      <c r="H234" s="0" t="n">
        <v>23.13</v>
      </c>
      <c r="I234" s="0" t="n">
        <v>-101.11</v>
      </c>
      <c r="J234" s="0" t="inlineStr">
        <is>
          <t>operating</t>
        </is>
      </c>
      <c r="K234" s="0" t="inlineStr">
        <is>
          <t>Zinc</t>
        </is>
      </c>
      <c r="L234" s="0" t="n">
        <v>1460000</v>
      </c>
      <c r="M234" s="0" t="inlineStr">
        <is>
          <t>t/yr</t>
        </is>
      </c>
      <c r="N234" s="0" t="n">
        <v>1274600</v>
      </c>
      <c r="O234" s="0" t="inlineStr">
        <is>
          <t>mt ore milled/yr (FY2025, 87.3%)</t>
        </is>
      </c>
      <c r="P234" s="0" t="b">
        <v>1</v>
      </c>
      <c r="Q234" s="0" t="inlineStr">
        <is>
          <t>ore</t>
        </is>
      </c>
      <c r="R234" s="0" t="inlineStr">
        <is>
          <t>2608.00</t>
        </is>
      </c>
      <c r="S234" s="0" t="inlineStr">
        <is>
          <t>operator</t>
        </is>
      </c>
      <c r="T234" s="0" t="n">
        <v>1</v>
      </c>
      <c r="U234" s="0" t="inlineStr">
        <is>
          <t>https://www.sec.gov/Archives/edgar/data/1001838/000110465926021492/scco-20251231x10k.htm</t>
        </is>
      </c>
      <c r="V234" s="0" t="inlineStr">
        <is>
          <t>[FY2025 10-K Key Production Capacity Data table] Coordinates approximate (not from filing) - verify. Underground Zn/Cu/Pb/Ag. Upstream tailings dam 57m. [capacity detail: mt ore milled/yr]</t>
        </is>
      </c>
      <c r="X234" s="0" t="inlineStr">
        <is>
          <t>underground</t>
        </is>
      </c>
      <c r="AA234" s="0" t="inlineStr">
        <is>
          <t>Primarily galvanizing (corrosion coating on iron/steel); die-cast parts, BATTERY manufacture, architectural sheet, brass alloying. [10-K Item 1, commodity-level] Plus Cu/Pb/Ag concentrates.</t>
        </is>
      </c>
    </row>
    <row r="235" ht="15.75" customHeight="1" s="74">
      <c r="A235" s="0" t="inlineStr">
        <is>
          <t>Southern Copper Corporation</t>
        </is>
      </c>
      <c r="B235" s="0" t="inlineStr">
        <is>
          <t>US</t>
        </is>
      </c>
      <c r="C235" s="0" t="inlineStr">
        <is>
          <t>IMMSA San Martin Mine</t>
        </is>
      </c>
      <c r="D235" s="0" t="inlineStr">
        <is>
          <t>mine</t>
        </is>
      </c>
      <c r="E235" s="0" t="inlineStr">
        <is>
          <t>MX</t>
        </is>
      </c>
      <c r="F235" s="0" t="inlineStr">
        <is>
          <t>Zacatecas</t>
        </is>
      </c>
      <c r="G235" s="0" t="inlineStr">
        <is>
          <t>Sombrerete</t>
        </is>
      </c>
      <c r="H235" s="0" t="n">
        <v>23.63</v>
      </c>
      <c r="I235" s="0" t="n">
        <v>-103.64</v>
      </c>
      <c r="J235" s="0" t="inlineStr">
        <is>
          <t>operating</t>
        </is>
      </c>
      <c r="K235" s="0" t="inlineStr">
        <is>
          <t>Zinc</t>
        </is>
      </c>
      <c r="L235" s="0" t="n">
        <v>1606000</v>
      </c>
      <c r="M235" s="0" t="inlineStr">
        <is>
          <t>t/yr</t>
        </is>
      </c>
      <c r="N235" s="0" t="n">
        <v>1457300</v>
      </c>
      <c r="O235" s="0" t="inlineStr">
        <is>
          <t>mt ore milled/yr (FY2025, 90.7%)</t>
        </is>
      </c>
      <c r="P235" s="0" t="b">
        <v>1</v>
      </c>
      <c r="Q235" s="0" t="inlineStr">
        <is>
          <t>ore</t>
        </is>
      </c>
      <c r="R235" s="0" t="inlineStr">
        <is>
          <t>2608.00</t>
        </is>
      </c>
      <c r="S235" s="0" t="inlineStr">
        <is>
          <t>operator</t>
        </is>
      </c>
      <c r="T235" s="0" t="n">
        <v>1</v>
      </c>
      <c r="U235" s="0" t="inlineStr">
        <is>
          <t>https://www.sec.gov/Archives/edgar/data/1001838/000110465926021492/scco-20251231x10k.htm</t>
        </is>
      </c>
      <c r="V235" s="0" t="inlineStr">
        <is>
          <t>[FY2025 10-K Key Production Capacity Data table] Coordinates approximate (not from filing) - verify. Underground Zn/Pb/Cu/Ag. Strike 2007-2018; resumed after 2018 vote; National Mining Union amparo still pending YE2025. Upstream tailings dams 5&amp;7 (74m). [capacity detail: mt ore milled/yr]</t>
        </is>
      </c>
      <c r="X235" s="0" t="inlineStr">
        <is>
          <t>underground</t>
        </is>
      </c>
      <c r="AA235" s="0" t="inlineStr">
        <is>
          <t>Primarily galvanizing (corrosion coating on iron/steel); die-cast parts, BATTERY manufacture, architectural sheet, brass alloying. [10-K Item 1, commodity-level] Plus Pb/Cu/Ag concentrates.</t>
        </is>
      </c>
    </row>
    <row r="236" ht="15.75" customHeight="1" s="74">
      <c r="A236" s="0" t="inlineStr">
        <is>
          <t>Southern Copper Corporation</t>
        </is>
      </c>
      <c r="B236" s="0" t="inlineStr">
        <is>
          <t>US</t>
        </is>
      </c>
      <c r="C236" s="0" t="inlineStr">
        <is>
          <t>IMMSA Santa Barbara Mine</t>
        </is>
      </c>
      <c r="D236" s="0" t="inlineStr">
        <is>
          <t>mine</t>
        </is>
      </c>
      <c r="E236" s="0" t="inlineStr">
        <is>
          <t>MX</t>
        </is>
      </c>
      <c r="F236" s="0" t="inlineStr">
        <is>
          <t>Chihuahua</t>
        </is>
      </c>
      <c r="G236" s="0" t="inlineStr">
        <is>
          <t>Santa Barbara</t>
        </is>
      </c>
      <c r="H236" s="0" t="n">
        <v>26.81</v>
      </c>
      <c r="I236" s="0" t="n">
        <v>-105.82</v>
      </c>
      <c r="J236" s="0" t="inlineStr">
        <is>
          <t>operating</t>
        </is>
      </c>
      <c r="K236" s="0" t="inlineStr">
        <is>
          <t>Zinc</t>
        </is>
      </c>
      <c r="L236" s="0" t="n">
        <v>2190000</v>
      </c>
      <c r="M236" s="0" t="inlineStr">
        <is>
          <t>t/yr</t>
        </is>
      </c>
      <c r="N236" s="0" t="n">
        <v>1800000</v>
      </c>
      <c r="O236" s="0" t="inlineStr">
        <is>
          <t>mt ore milled/yr (FY2025, 82.2%)</t>
        </is>
      </c>
      <c r="P236" s="0" t="b">
        <v>1</v>
      </c>
      <c r="Q236" s="0" t="inlineStr">
        <is>
          <t>ore</t>
        </is>
      </c>
      <c r="R236" s="0" t="inlineStr">
        <is>
          <t>2608.00</t>
        </is>
      </c>
      <c r="S236" s="0" t="inlineStr">
        <is>
          <t>operator</t>
        </is>
      </c>
      <c r="T236" s="0" t="n">
        <v>1</v>
      </c>
      <c r="U236" s="0" t="inlineStr">
        <is>
          <t>https://www.sec.gov/Archives/edgar/data/1001838/000110465926021492/scco-20251231x10k.htm</t>
        </is>
      </c>
      <c r="V236" s="0" t="inlineStr">
        <is>
          <t>[FY2025 10-K Key Production Capacity Data table] Coordinates approximate (not from filing) - verify. Underground Pb/Cu/Zn. Noriega upstream tailings dam 56m. [capacity detail: mt ore milled/yr]</t>
        </is>
      </c>
      <c r="X236" s="0" t="inlineStr">
        <is>
          <t>underground</t>
        </is>
      </c>
      <c r="AA236" s="0" t="inlineStr">
        <is>
          <t>Primarily galvanizing (corrosion coating on iron/steel); die-cast parts, BATTERY manufacture, architectural sheet, brass alloying. [10-K Item 1, commodity-level] Plus Pb/Cu concentrates.</t>
        </is>
      </c>
    </row>
    <row r="237" ht="15.75" customHeight="1" s="74">
      <c r="A237" s="0" t="inlineStr">
        <is>
          <t>Southern Copper Corporation</t>
        </is>
      </c>
      <c r="B237" s="0" t="inlineStr">
        <is>
          <t>US</t>
        </is>
      </c>
      <c r="C237" s="0" t="inlineStr">
        <is>
          <t>IMMSA Santa Eulalia Mine</t>
        </is>
      </c>
      <c r="D237" s="0" t="inlineStr">
        <is>
          <t>mine</t>
        </is>
      </c>
      <c r="E237" s="0" t="inlineStr">
        <is>
          <t>MX</t>
        </is>
      </c>
      <c r="F237" s="0" t="inlineStr">
        <is>
          <t>Chihuahua</t>
        </is>
      </c>
      <c r="G237" s="0" t="inlineStr">
        <is>
          <t>Chihuahua</t>
        </is>
      </c>
      <c r="H237" s="0" t="n">
        <v>28.59</v>
      </c>
      <c r="I237" s="0" t="n">
        <v>-105.89</v>
      </c>
      <c r="J237" s="0" t="inlineStr">
        <is>
          <t>suspended</t>
        </is>
      </c>
      <c r="K237" s="0" t="inlineStr">
        <is>
          <t>Zinc</t>
        </is>
      </c>
      <c r="L237" s="0" t="n">
        <v>547500</v>
      </c>
      <c r="M237" s="0" t="inlineStr">
        <is>
          <t>t/yr</t>
        </is>
      </c>
      <c r="N237" s="0" t="n">
        <v>0</v>
      </c>
      <c r="O237" s="0" t="inlineStr">
        <is>
          <t>suspended</t>
        </is>
      </c>
      <c r="P237" s="0" t="b">
        <v>1</v>
      </c>
      <c r="Q237" s="0" t="inlineStr">
        <is>
          <t>ore</t>
        </is>
      </c>
      <c r="R237" s="0" t="inlineStr">
        <is>
          <t>2608.00</t>
        </is>
      </c>
      <c r="S237" s="0" t="inlineStr">
        <is>
          <t>operator</t>
        </is>
      </c>
      <c r="T237" s="0" t="n">
        <v>1</v>
      </c>
      <c r="U237" s="0" t="inlineStr">
        <is>
          <t>https://www.sec.gov/Archives/edgar/data/1001838/000110465926021492/scco-20251231x10k.htm</t>
        </is>
      </c>
      <c r="V237" s="0" t="inlineStr">
        <is>
          <t>[FY2025 10-K Key Production Capacity Data table] Coordinates approximate (not from filing) - verify. SUSPENDED since Q1 2020 due to flooding. Dewatering: level -25m in 2024; 2025 pump-capacity study; unclear if mine can be dewatered. [capacity detail: mt ore milled/yr]</t>
        </is>
      </c>
      <c r="X237" s="0" t="inlineStr">
        <is>
          <t>underground</t>
        </is>
      </c>
      <c r="AA237" s="0" t="inlineStr">
        <is>
          <t>Primarily galvanizing (corrosion coating on iron/steel); die-cast parts, BATTERY manufacture, architectural sheet, brass alloying. [10-K Item 1, commodity-level] Plus Pb concentrates. (Suspended.)</t>
        </is>
      </c>
    </row>
    <row r="238" ht="15.75" customHeight="1" s="74">
      <c r="A238" s="0" t="inlineStr">
        <is>
          <t>Southern Copper Corporation</t>
        </is>
      </c>
      <c r="B238" s="0" t="inlineStr">
        <is>
          <t>US</t>
        </is>
      </c>
      <c r="C238" s="0" t="inlineStr">
        <is>
          <t>IMMSA Taxco Mine</t>
        </is>
      </c>
      <c r="D238" s="0" t="inlineStr">
        <is>
          <t>mine</t>
        </is>
      </c>
      <c r="E238" s="0" t="inlineStr">
        <is>
          <t>MX</t>
        </is>
      </c>
      <c r="F238" s="0" t="inlineStr">
        <is>
          <t>Guerrero</t>
        </is>
      </c>
      <c r="G238" s="0" t="inlineStr">
        <is>
          <t>Taxco</t>
        </is>
      </c>
      <c r="H238" s="0" t="n">
        <v>18.55</v>
      </c>
      <c r="I238" s="0" t="n">
        <v>-99.61</v>
      </c>
      <c r="J238" s="0" t="inlineStr">
        <is>
          <t>suspended</t>
        </is>
      </c>
      <c r="K238" s="0" t="inlineStr">
        <is>
          <t>Zinc</t>
        </is>
      </c>
      <c r="L238" s="0" t="n">
        <v>730000</v>
      </c>
      <c r="M238" s="0" t="inlineStr">
        <is>
          <t>t/yr</t>
        </is>
      </c>
      <c r="N238" s="0" t="n">
        <v>0</v>
      </c>
      <c r="O238" s="0" t="inlineStr">
        <is>
          <t>suspended (strike since Jul 2007)</t>
        </is>
      </c>
      <c r="P238" s="0" t="b">
        <v>1</v>
      </c>
      <c r="Q238" s="0" t="inlineStr">
        <is>
          <t>ore</t>
        </is>
      </c>
      <c r="R238" s="0" t="inlineStr">
        <is>
          <t>2608.00</t>
        </is>
      </c>
      <c r="S238" s="0" t="inlineStr">
        <is>
          <t>operator</t>
        </is>
      </c>
      <c r="T238" s="0" t="n">
        <v>1</v>
      </c>
      <c r="U238" s="0" t="inlineStr">
        <is>
          <t>https://www.sec.gov/Archives/edgar/data/1001838/000110465926021492/scco-20251231x10k.htm</t>
        </is>
      </c>
      <c r="V238" s="0" t="inlineStr">
        <is>
          <t>[FY2025 10-K Key Production Capacity Data table] Coordinates approximate (not from filing) - verify. ON STRIKE SINCE JULY 2007 (18+ yrs). Supreme Court asserted jurisdiction 2015; still pending YE2025. Non-material impairment recognized. [capacity detail: mt ore milled/yr]</t>
        </is>
      </c>
      <c r="X238" s="0" t="inlineStr">
        <is>
          <t>underground</t>
        </is>
      </c>
      <c r="AA238" s="0" t="inlineStr">
        <is>
          <t>Primarily galvanizing (corrosion coating on iron/steel); die-cast parts, BATTERY manufacture, architectural sheet, brass alloying. [10-K Item 1, commodity-level] Plus Pb/Ag/Au. (Suspended.)</t>
        </is>
      </c>
    </row>
    <row r="239" ht="15.75" customHeight="1" s="74">
      <c r="A239" s="0" t="inlineStr">
        <is>
          <t>Southern Copper Corporation</t>
        </is>
      </c>
      <c r="B239" s="0" t="inlineStr">
        <is>
          <t>US</t>
        </is>
      </c>
      <c r="C239" s="0" t="inlineStr">
        <is>
          <t>San Luis Potosi Zinc Refinery</t>
        </is>
      </c>
      <c r="D239" s="0" t="inlineStr">
        <is>
          <t>refinery</t>
        </is>
      </c>
      <c r="E239" s="0" t="inlineStr">
        <is>
          <t>MX</t>
        </is>
      </c>
      <c r="F239" s="0" t="inlineStr">
        <is>
          <t>San Luis Potosi</t>
        </is>
      </c>
      <c r="G239" s="0" t="inlineStr">
        <is>
          <t>San Luis Potosi</t>
        </is>
      </c>
      <c r="H239" s="0" t="n">
        <v>22.15</v>
      </c>
      <c r="I239" s="0" t="n">
        <v>-100.98</v>
      </c>
      <c r="J239" s="0" t="inlineStr">
        <is>
          <t>operating</t>
        </is>
      </c>
      <c r="K239" s="0" t="inlineStr">
        <is>
          <t>Zinc</t>
        </is>
      </c>
      <c r="L239" s="0" t="n">
        <v>105000</v>
      </c>
      <c r="M239" s="0" t="inlineStr">
        <is>
          <t>t/yr</t>
        </is>
      </c>
      <c r="N239" s="0" t="n">
        <v>87000</v>
      </c>
      <c r="O239" s="0" t="inlineStr">
        <is>
          <t>mt Zn cathode/yr (FY2025, 82.9%)</t>
        </is>
      </c>
      <c r="P239" s="0" t="b">
        <v>1</v>
      </c>
      <c r="Q239" s="0" t="inlineStr">
        <is>
          <t>refined</t>
        </is>
      </c>
      <c r="R239" s="0" t="inlineStr">
        <is>
          <t>7901.11</t>
        </is>
      </c>
      <c r="S239" s="0" t="inlineStr">
        <is>
          <t>operator</t>
        </is>
      </c>
      <c r="T239" s="0" t="n">
        <v>1</v>
      </c>
      <c r="U239" s="0" t="inlineStr">
        <is>
          <t>https://www.sec.gov/Archives/edgar/data/1001838/000110465926021492/scco-20251231x10k.htm</t>
        </is>
      </c>
      <c r="V239" s="0" t="inlineStr">
        <is>
          <t>[FY2025 10-K Key Production Capacity Data table] Coordinates approximate (not from filing) - verify. Electrolytic zinc + 180 ktpy acid plant (93.7%). New 500kt zinc facility mentioned historically - verify status. [capacity detail: mt Zn cathode/yr]</t>
        </is>
      </c>
      <c r="AA239" s="0" t="inlineStr">
        <is>
          <t>Refined zinc cathode: Primarily galvanizing (corrosion coating on iron/steel); die-cast parts, BATTERY manufacture, architectural sheet, brass alloying. [10-K Item 1, commodity-level]</t>
        </is>
      </c>
    </row>
    <row r="240" ht="15.75" customHeight="1" s="74">
      <c r="A240" s="0" t="inlineStr">
        <is>
          <t>Southern Copper Corporation</t>
        </is>
      </c>
      <c r="B240" s="0" t="inlineStr">
        <is>
          <t>US</t>
        </is>
      </c>
      <c r="C240" s="0" t="inlineStr">
        <is>
          <t>Tia Maria Project</t>
        </is>
      </c>
      <c r="D240" s="0" t="inlineStr">
        <is>
          <t>mine</t>
        </is>
      </c>
      <c r="E240" s="0" t="inlineStr">
        <is>
          <t>PE</t>
        </is>
      </c>
      <c r="F240" s="0" t="inlineStr">
        <is>
          <t>Arequipa</t>
        </is>
      </c>
      <c r="G240" s="0" t="inlineStr">
        <is>
          <t>Cocachacra</t>
        </is>
      </c>
      <c r="H240" s="0" t="n">
        <v>-17.02</v>
      </c>
      <c r="I240" s="0" t="n">
        <v>-71.7</v>
      </c>
      <c r="J240" s="0" t="inlineStr">
        <is>
          <t>under_construction</t>
        </is>
      </c>
      <c r="K240" s="0" t="inlineStr">
        <is>
          <t>Copper</t>
        </is>
      </c>
      <c r="L240" s="0" t="n">
        <v>120000</v>
      </c>
      <c r="M240" s="0" t="inlineStr">
        <is>
          <t>t/yr</t>
        </is>
      </c>
      <c r="N240" s="0" t="n">
        <v>0</v>
      </c>
      <c r="O240" s="0" t="inlineStr">
        <is>
          <t>construction 24% complete YE2025</t>
        </is>
      </c>
      <c r="P240" s="0" t="b">
        <v>1</v>
      </c>
      <c r="Q240" s="0" t="inlineStr">
        <is>
          <t>refined</t>
        </is>
      </c>
      <c r="R240" s="0" t="inlineStr">
        <is>
          <t>7403.00</t>
        </is>
      </c>
      <c r="S240" s="0" t="inlineStr">
        <is>
          <t>operator</t>
        </is>
      </c>
      <c r="T240" s="0" t="n">
        <v>1</v>
      </c>
      <c r="U240" s="0" t="inlineStr">
        <is>
          <t>https://www.sec.gov/Archives/edgar/data/1001838/000110465926021492/scco-20251231x10k.htm</t>
        </is>
      </c>
      <c r="V240" s="0" t="inlineStr">
        <is>
          <t>[FY2025 10-K Key Production Capacity Data table] Coordinates approximate (not from filing) - verify. Greenfield SX-EW, $1,805M budget, $790M committed, ops expected 2027. La Tapada reserves 487.6Mt @0.41% + Tia Maria 223.8Mt @0.29% (probable). SEVEN lawsuits pending (2 new 2025). Historic 2019 protest flashpoint. [capacity detail: mt SX-EW Cu cathode/yr (design)]</t>
        </is>
      </c>
      <c r="X240" s="0" t="inlineStr">
        <is>
          <t>open_pit</t>
        </is>
      </c>
      <c r="AA240" s="0" t="inlineStr">
        <is>
          <t>SX-EW Cu cathodes (LME grade): 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t>
        </is>
      </c>
    </row>
    <row r="241" ht="15.75" customHeight="1" s="74">
      <c r="A241" s="0" t="inlineStr">
        <is>
          <t>Southern Copper Corporation</t>
        </is>
      </c>
      <c r="B241" s="0" t="inlineStr">
        <is>
          <t>US</t>
        </is>
      </c>
      <c r="C241" s="0" t="inlineStr">
        <is>
          <t>Los Chancas Project</t>
        </is>
      </c>
      <c r="D241" s="0" t="inlineStr">
        <is>
          <t>mine</t>
        </is>
      </c>
      <c r="E241" s="0" t="inlineStr">
        <is>
          <t>PE</t>
        </is>
      </c>
      <c r="F241" s="0" t="inlineStr">
        <is>
          <t>Apurimac</t>
        </is>
      </c>
      <c r="G241" s="0" t="inlineStr">
        <is>
          <t>Tapayrihua</t>
        </is>
      </c>
      <c r="H241" s="0" t="n">
        <v>-14.15</v>
      </c>
      <c r="I241" s="0" t="n">
        <v>-73.09999999999999</v>
      </c>
      <c r="J241" s="0" t="inlineStr">
        <is>
          <t>planned</t>
        </is>
      </c>
      <c r="K241" s="0" t="inlineStr">
        <is>
          <t>Copper</t>
        </is>
      </c>
      <c r="L241" s="0" t="n">
        <v>130000</v>
      </c>
      <c r="M241" s="0" t="inlineStr">
        <is>
          <t>t/yr</t>
        </is>
      </c>
      <c r="N241" s="0" t="n">
        <v>0</v>
      </c>
      <c r="O241" s="0" t="inlineStr">
        <is>
          <t>blocked - illegal miners</t>
        </is>
      </c>
      <c r="P241" s="0" t="b">
        <v>1</v>
      </c>
      <c r="Q241" s="0" t="inlineStr">
        <is>
          <t>ore</t>
        </is>
      </c>
      <c r="R241" s="0" t="inlineStr">
        <is>
          <t>2603.00</t>
        </is>
      </c>
      <c r="S241" s="0" t="inlineStr">
        <is>
          <t>operator</t>
        </is>
      </c>
      <c r="T241" s="0" t="n">
        <v>1</v>
      </c>
      <c r="U241" s="0" t="inlineStr">
        <is>
          <t>https://www.sec.gov/Archives/edgar/data/1001838/000110465926021492/scco-20251231x10k.htm</t>
        </is>
      </c>
      <c r="V241" s="0" t="inlineStr">
        <is>
          <t>[FY2025 10-K Key Production Capacity Data table] Coordinates approximate (not from filing) - verify. $2.6B capex, ops target 2031. BLOCKED: illegal miners in project area have prevented advancement; company working with authorities to regain control. Resources: 98Mt oxides @0.45% + 52Mt sulfides @0.59%. [capacity detail: mt Cu/yr + 7,500 t Mo/yr (design)]</t>
        </is>
      </c>
      <c r="X241" s="0" t="inlineStr">
        <is>
          <t>open_pit</t>
        </is>
      </c>
      <c r="AA241"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Design Mo output: Alloy steel toughening, tungsten alloy softening; fertilizers, dyes, enamels, reagents. [10-K Item 1, commodity-level]</t>
        </is>
      </c>
    </row>
    <row r="242" ht="15.75" customHeight="1" s="74">
      <c r="A242" s="0" t="inlineStr">
        <is>
          <t>Southern Copper Corporation</t>
        </is>
      </c>
      <c r="B242" s="0" t="inlineStr">
        <is>
          <t>US</t>
        </is>
      </c>
      <c r="C242" s="0" t="inlineStr">
        <is>
          <t>Michiquillay Project</t>
        </is>
      </c>
      <c r="D242" s="0" t="inlineStr">
        <is>
          <t>mine</t>
        </is>
      </c>
      <c r="E242" s="0" t="inlineStr">
        <is>
          <t>PE</t>
        </is>
      </c>
      <c r="F242" s="0" t="inlineStr">
        <is>
          <t>Cajamarca</t>
        </is>
      </c>
      <c r="G242" s="0" t="inlineStr">
        <is>
          <t>La Encanada</t>
        </is>
      </c>
      <c r="H242" s="0" t="n">
        <v>-7.05</v>
      </c>
      <c r="I242" s="0" t="n">
        <v>-78.31999999999999</v>
      </c>
      <c r="J242" s="0" t="inlineStr">
        <is>
          <t>planned</t>
        </is>
      </c>
      <c r="K242" s="0" t="inlineStr">
        <is>
          <t>Copper</t>
        </is>
      </c>
      <c r="L242" s="0" t="n">
        <v>225000</v>
      </c>
      <c r="M242" s="0" t="inlineStr">
        <is>
          <t>t/yr</t>
        </is>
      </c>
      <c r="N242" s="0" t="n">
        <v>0</v>
      </c>
      <c r="O242" s="0" t="inlineStr">
        <is>
          <t>exploration/feasibility</t>
        </is>
      </c>
      <c r="P242" s="0" t="b">
        <v>1</v>
      </c>
      <c r="Q242" s="0" t="inlineStr">
        <is>
          <t>ore</t>
        </is>
      </c>
      <c r="R242" s="0" t="inlineStr">
        <is>
          <t>2603.00</t>
        </is>
      </c>
      <c r="S242" s="0" t="inlineStr">
        <is>
          <t>operator</t>
        </is>
      </c>
      <c r="T242" s="0" t="n">
        <v>1</v>
      </c>
      <c r="U242" s="0" t="inlineStr">
        <is>
          <t>https://www.sec.gov/Archives/edgar/data/1001838/000110465926021492/scco-20251231x10k.htm</t>
        </is>
      </c>
      <c r="V242" s="0" t="inlineStr">
        <is>
          <t>[FY2025 10-K Key Production Capacity Data table] Coordinates approximate (not from filing) - verify. $2.5B est capex, production target 2032, &gt;25yr mine life. Inferred 2,288Mt @0.43%. Apr 2025: paid $21M to extend preoperational period 3 yrs + $15M social commitments; $375M purchase balance deferred 3 yrs. S-K 1300 resource audit done. [capacity detail: mt Cu/yr (design)]</t>
        </is>
      </c>
      <c r="X242" s="0" t="inlineStr">
        <is>
          <t>open_pit</t>
        </is>
      </c>
      <c r="AA242"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By-products Mo/Au/Ag planned.</t>
        </is>
      </c>
    </row>
    <row r="243" ht="15.75" customHeight="1" s="74">
      <c r="A243" s="0" t="inlineStr">
        <is>
          <t>Southern Copper Corporation</t>
        </is>
      </c>
      <c r="B243" s="0" t="inlineStr">
        <is>
          <t>US</t>
        </is>
      </c>
      <c r="C243" s="0" t="inlineStr">
        <is>
          <t>El Pilar Project</t>
        </is>
      </c>
      <c r="D243" s="0" t="inlineStr">
        <is>
          <t>mine</t>
        </is>
      </c>
      <c r="E243" s="0" t="inlineStr">
        <is>
          <t>MX</t>
        </is>
      </c>
      <c r="F243" s="0" t="inlineStr">
        <is>
          <t>Sonora</t>
        </is>
      </c>
      <c r="G243" s="0" t="inlineStr">
        <is>
          <t>Santa Cruz</t>
        </is>
      </c>
      <c r="H243" s="0" t="n">
        <v>31.2</v>
      </c>
      <c r="I243" s="0" t="n">
        <v>-110.4</v>
      </c>
      <c r="J243" s="0" t="inlineStr">
        <is>
          <t>planned</t>
        </is>
      </c>
      <c r="K243" s="0" t="inlineStr">
        <is>
          <t>Copper</t>
        </is>
      </c>
      <c r="L243" s="0" t="n">
        <v>36000</v>
      </c>
      <c r="M243" s="0" t="inlineStr">
        <is>
          <t>t/yr</t>
        </is>
      </c>
      <c r="N243" s="0" t="n">
        <v>0</v>
      </c>
      <c r="O243" s="0" t="inlineStr">
        <is>
          <t>development</t>
        </is>
      </c>
      <c r="P243" s="0" t="b">
        <v>1</v>
      </c>
      <c r="Q243" s="0" t="inlineStr">
        <is>
          <t>refined</t>
        </is>
      </c>
      <c r="R243" s="0" t="inlineStr">
        <is>
          <t>7403.00</t>
        </is>
      </c>
      <c r="S243" s="0" t="inlineStr">
        <is>
          <t>operator</t>
        </is>
      </c>
      <c r="T243" s="0" t="n">
        <v>1</v>
      </c>
      <c r="U243" s="0" t="inlineStr">
        <is>
          <t>https://www.sec.gov/Archives/edgar/data/1001838/000110465926021492/scco-20251231x10k.htm</t>
        </is>
      </c>
      <c r="V243" s="0" t="inlineStr">
        <is>
          <t>[FY2025 10-K Key Production Capacity Data table] Coordinates approximate (not from filing) - verify. Low-capex greenfield 45km from Buenavista. Reserves 317Mt @0.25% P+P. [capacity detail: mt SX-EW Cu cathode/yr (design)]</t>
        </is>
      </c>
      <c r="X243" s="0" t="inlineStr">
        <is>
          <t>open_pit</t>
        </is>
      </c>
      <c r="AA243" s="0" t="inlineStr">
        <is>
          <t>SX-EW Cu cathodes: 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t>
        </is>
      </c>
    </row>
    <row r="244" ht="15.75" customHeight="1" s="74">
      <c r="A244" s="0" t="inlineStr">
        <is>
          <t>Southern Copper Corporation</t>
        </is>
      </c>
      <c r="B244" s="0" t="inlineStr">
        <is>
          <t>US</t>
        </is>
      </c>
      <c r="C244" s="0" t="inlineStr">
        <is>
          <t>El Arco Project</t>
        </is>
      </c>
      <c r="D244" s="0" t="inlineStr">
        <is>
          <t>mine</t>
        </is>
      </c>
      <c r="E244" s="0" t="inlineStr">
        <is>
          <t>MX</t>
        </is>
      </c>
      <c r="F244" s="0" t="inlineStr">
        <is>
          <t>Baja California</t>
        </is>
      </c>
      <c r="G244" s="0" t="inlineStr">
        <is>
          <t>El Arco</t>
        </is>
      </c>
      <c r="H244" s="0" t="n">
        <v>28.02</v>
      </c>
      <c r="I244" s="0" t="n">
        <v>-113.4</v>
      </c>
      <c r="J244" s="0" t="inlineStr">
        <is>
          <t>planned</t>
        </is>
      </c>
      <c r="K244" s="0" t="inlineStr">
        <is>
          <t>Copper</t>
        </is>
      </c>
      <c r="L244" s="0" t="n">
        <v>190000</v>
      </c>
      <c r="M244" s="0" t="inlineStr">
        <is>
          <t>t/yr</t>
        </is>
      </c>
      <c r="N244" s="0" t="n">
        <v>0</v>
      </c>
      <c r="O244" s="0" t="inlineStr">
        <is>
          <t>detailed engineering</t>
        </is>
      </c>
      <c r="P244" s="0" t="b">
        <v>1</v>
      </c>
      <c r="Q244" s="0" t="inlineStr">
        <is>
          <t>ore</t>
        </is>
      </c>
      <c r="R244" s="0" t="inlineStr">
        <is>
          <t>2603.00</t>
        </is>
      </c>
      <c r="S244" s="0" t="inlineStr">
        <is>
          <t>operator</t>
        </is>
      </c>
      <c r="T244" s="0" t="n">
        <v>1</v>
      </c>
      <c r="U244" s="0" t="inlineStr">
        <is>
          <t>https://www.sec.gov/Archives/edgar/data/1001838/000110465926021492/scco-20251231x10k.htm</t>
        </is>
      </c>
      <c r="V244" s="0" t="inlineStr">
        <is>
          <t>[FY2025 10-K Key Production Capacity Data table] Coordinates approximate (not from filing) - verify. World-class deposit: 1,229.5Mt @0.40% P+P + leach 140.5Mt @0.27%; Au 5.58Moz + Ag 70.5Moz contained. Detailed engineering underway (concentrator, SX-EW, desalination, logistics, power). Design capacity approximated from 120ktpd/28ktpy figures - verify. [capacity detail: mt Cu/yr approx (120 ktpd concentrator + 28 ktpy SX-EW)]</t>
        </is>
      </c>
      <c r="X244" s="0" t="inlineStr">
        <is>
          <t>open_pit</t>
        </is>
      </c>
      <c r="AA244" s="0" t="inlineStr">
        <is>
          <t>Electrical &amp; electronic products incl. power transmission/generation components (~75% of global Cu use per filing), telecom, building construction, transportation, industrial machinery; plumbing/brass. EV relevance: motors, wiring, charging. [10-K Item 1, commodity-level - SCC does not disclose per-facility end-use] By-products Au/Ag contained in reserves.</t>
        </is>
      </c>
    </row>
    <row r="245" ht="15.75" customHeight="1" s="74">
      <c r="A245" s="0" t="inlineStr">
        <is>
          <t>CMOC Group Limited</t>
        </is>
      </c>
      <c r="B245" s="0" t="inlineStr">
        <is>
          <t>CN</t>
        </is>
      </c>
      <c r="C245" s="0" t="inlineStr">
        <is>
          <t>Tenke Fungurume Copper-Cobalt Mine (TFM)</t>
        </is>
      </c>
      <c r="D245" s="0" t="inlineStr">
        <is>
          <t>mine</t>
        </is>
      </c>
      <c r="E245" s="0" t="inlineStr">
        <is>
          <t>CD</t>
        </is>
      </c>
      <c r="F245" s="0" t="inlineStr">
        <is>
          <t>Lualaba</t>
        </is>
      </c>
      <c r="G245" s="0" t="inlineStr">
        <is>
          <t>Fungurume</t>
        </is>
      </c>
      <c r="H245" s="0" t="n">
        <v>-10.62</v>
      </c>
      <c r="I245" s="0" t="n">
        <v>26.3</v>
      </c>
      <c r="J245" s="0" t="inlineStr">
        <is>
          <t>operating</t>
        </is>
      </c>
      <c r="K245" s="0" t="inlineStr">
        <is>
          <t>Cobalt</t>
        </is>
      </c>
      <c r="L245" s="0" t="n">
        <v>37000</v>
      </c>
      <c r="M245" s="0" t="inlineStr">
        <is>
          <t>t/yr</t>
        </is>
      </c>
      <c r="N245" s="0" t="n"/>
      <c r="O245" s="0" t="n"/>
      <c r="P245" s="0" t="b">
        <v>1</v>
      </c>
      <c r="Q245" s="0" t="inlineStr">
        <is>
          <t>intermediate</t>
        </is>
      </c>
      <c r="R245" s="0" t="inlineStr">
        <is>
          <t>8105.20</t>
        </is>
      </c>
      <c r="S245" s="0" t="inlineStr">
        <is>
          <t>operator</t>
        </is>
      </c>
      <c r="T245" s="0" t="n">
        <v>0.8</v>
      </c>
      <c r="U245" s="0" t="inlineStr">
        <is>
          <t>https://www.hkexnews.hk/listedco/listconews/sehk/2026/0327/2026032703784.pdf</t>
        </is>
      </c>
      <c r="V245" s="0" t="inlineStr">
        <is>
          <t>V45 FIX: capacity basis = t contained Co in hydroxide/yr (CMOC stated); per-mine Co production NOT disclosed (CMOC total 114kt FY2024 TFM+KFM combined) so production left blank; ore throughput 24.3 Mt/yr FY2025. || UNITS NORMALIZED 2026-07-16: ore throughput 24.3 Mt/yr (FY2025) moved here from production_tpy — contained-Co basis required on intermediate-stage links. Capacity 37kt = CMOC stated. || [HKEX AR 2025] Coordinates approximate (not from filing) - verify. World-class Cu-Co complex. Resources: 1,316Mt @2.25% Cu (29.57Mt) / 0.25% Co (3.29Mt); reserves 220.4Mt @2.88% Cu / 0.29% Co; ore throughput 24.3Mt FY2025; ~9.1 yrs reserve life. TFM+KFM combined &gt;700kt/yr Cu capacity; company-level DRC output FY2025: 741.1kt Cu / 117.5kt Co (TFM/KFM split not disclosed - production left blank, do not fabricate). Copper Mark re-audit passed Oct 2025 (fully compliant). DRC EXPORT BAN Feb 2025 -&gt; quota regime (~96.6kt national, 2026). ownership_pct 0.80 = well-known CMOC/Gecamines 80/20 split - NOT stated in this report, VERIFY.</t>
        </is>
      </c>
      <c r="X245" s="0" t="inlineStr">
        <is>
          <t>open_pit</t>
        </is>
      </c>
      <c r="AA245" s="0" t="inlineStr">
        <is>
          <t>Cobalt hydroxide intermediate -&gt; Li-ion cathodes (via Chinese refiners + CATL framework), superalloys, catalysts; copper cathode/concentrate -&gt; electrical uses. [Commodity-level]</t>
        </is>
      </c>
    </row>
    <row r="246" ht="15.75" customHeight="1" s="74">
      <c r="A246" s="0" t="inlineStr">
        <is>
          <t>CMOC Group Limited</t>
        </is>
      </c>
      <c r="B246" s="0" t="inlineStr">
        <is>
          <t>CN</t>
        </is>
      </c>
      <c r="C246" s="0" t="inlineStr">
        <is>
          <t>Kisanfu Copper-Cobalt Mine (KFM)</t>
        </is>
      </c>
      <c r="D246" s="0" t="inlineStr">
        <is>
          <t>mine</t>
        </is>
      </c>
      <c r="E246" s="0" t="inlineStr">
        <is>
          <t>CD</t>
        </is>
      </c>
      <c r="F246" s="0" t="inlineStr">
        <is>
          <t>Lualaba</t>
        </is>
      </c>
      <c r="G246" s="0" t="inlineStr">
        <is>
          <t>Kisanfu</t>
        </is>
      </c>
      <c r="H246" s="0" t="n">
        <v>-10.78</v>
      </c>
      <c r="I246" s="0" t="n">
        <v>25.65</v>
      </c>
      <c r="J246" s="0" t="inlineStr">
        <is>
          <t>operating</t>
        </is>
      </c>
      <c r="K246" s="0" t="inlineStr">
        <is>
          <t>Cobalt</t>
        </is>
      </c>
      <c r="L246" s="0" t="n">
        <v>50000</v>
      </c>
      <c r="M246" s="0" t="inlineStr">
        <is>
          <t>t/yr</t>
        </is>
      </c>
      <c r="N246" s="0" t="n"/>
      <c r="O246" s="0" t="n"/>
      <c r="P246" s="0" t="b">
        <v>1</v>
      </c>
      <c r="Q246" s="0" t="inlineStr">
        <is>
          <t>intermediate</t>
        </is>
      </c>
      <c r="R246" s="0" t="inlineStr">
        <is>
          <t>8105.20</t>
        </is>
      </c>
      <c r="S246" s="0" t="inlineStr">
        <is>
          <t>operator</t>
        </is>
      </c>
      <c r="T246" s="0" t="n">
        <v>0.75</v>
      </c>
      <c r="U246" s="0" t="inlineStr">
        <is>
          <t>https://www.hkexnews.hk/listedco/listconews/sehk/2026/0327/2026032703784.pdf</t>
        </is>
      </c>
      <c r="V246" s="0" t="inlineStr">
        <is>
          <t>V45 FIX: capacity basis = t contained Co in hydroxide/yr (CMOC stated); per-mine Co production NOT disclosed (Benchmark est. KFM ~+46kt yoy 2024) so production left blank; ore throughput 6.9 Mt/yr FY2025. || UNITS NORMALIZED 2026-07-16: prior capacity/production 7.26/6.9 Mt were ORE tonnes (mill capacity/throughput FY2025) — moved to notes; contained-Co basis required. Capacity 50kt = CMOC stated. THE 7.26Mt VALUE WAS LIVE IN THE DB — reload required. || [HKEX AR 2025] Coordinates approximate (not from filing) - verify. World's LARGEST cobalt mine. Resources 223.9Mt @1.79% Cu / 0.87% Co (1.948Mt Co - grade ~3x TFM); reserves 180.1Mt @1.88% Cu / 0.92% Co; throughput 6.9Mt FY2025; 21-yr reserve life post-Phase-II (192Mt reserves after 2025 feasibility study). PHASE II: sanctioned, ops 2027, +7.26Mt/yr processing = ~+100kt/yr Cu. OWNERSHIP: KFM Holding 75% CMOC / 25% CATL (per AR - connected person). Deep sulphide exploration 193,822m drilled 2025. [capacity detail: mt ore/yr ADDITIONAL processing from Phase II (2027); current capacity not separately stated]</t>
        </is>
      </c>
      <c r="X246" s="0" t="inlineStr">
        <is>
          <t>open_pit</t>
        </is>
      </c>
      <c r="AA246" s="0" t="inlineStr">
        <is>
          <t>Cobalt hydroxide -&gt; Li-ion NCM cathodes (CATL equity + framework offtake); copper. [Commodity-level]</t>
        </is>
      </c>
    </row>
    <row r="247" ht="15.75" customHeight="1" s="74">
      <c r="A247" s="0" t="inlineStr">
        <is>
          <t>CMOC Group Limited</t>
        </is>
      </c>
      <c r="B247" s="0" t="inlineStr">
        <is>
          <t>CN</t>
        </is>
      </c>
      <c r="C247" s="0" t="inlineStr">
        <is>
          <t>Sandaozhuang Mo-W Mine</t>
        </is>
      </c>
      <c r="D247" s="0" t="inlineStr">
        <is>
          <t>mine</t>
        </is>
      </c>
      <c r="E247" s="0" t="inlineStr">
        <is>
          <t>CN</t>
        </is>
      </c>
      <c r="F247" s="0" t="inlineStr">
        <is>
          <t>Henan</t>
        </is>
      </c>
      <c r="G247" s="0" t="inlineStr">
        <is>
          <t>Luanchuan</t>
        </is>
      </c>
      <c r="H247" s="0" t="n">
        <v>33.78</v>
      </c>
      <c r="I247" s="0" t="n">
        <v>111.6</v>
      </c>
      <c r="J247" s="0" t="inlineStr">
        <is>
          <t>operating</t>
        </is>
      </c>
      <c r="K247" s="0" t="inlineStr">
        <is>
          <t>Molybdenum</t>
        </is>
      </c>
      <c r="N247" s="0" t="n">
        <v>7500000</v>
      </c>
      <c r="O247" s="0" t="inlineStr">
        <is>
          <t>mt industrial ore throughput/yr (FY2025, Chinese standards, excl. low-grade)</t>
        </is>
      </c>
      <c r="P247" s="0" t="b">
        <v>1</v>
      </c>
      <c r="Q247" s="0" t="inlineStr">
        <is>
          <t>ore</t>
        </is>
      </c>
      <c r="R247" s="0" t="inlineStr">
        <is>
          <t>2613.90</t>
        </is>
      </c>
      <c r="S247" s="0" t="inlineStr">
        <is>
          <t>operator</t>
        </is>
      </c>
      <c r="T247" s="0" t="n">
        <v>1</v>
      </c>
      <c r="U247" s="0" t="inlineStr">
        <is>
          <t>https://www.hkexnews.hk/listedco/listconews/sehk/2026/0327/2026032703784.pdf</t>
        </is>
      </c>
      <c r="V247" s="0" t="inlineStr">
        <is>
          <t>[HKEX AR 2025] Coordinates approximate (not from filing) - verify. Resources 265.6Mt @0.088% Mo + W 59.5Mt @0.172%; reserves 75.3Mt; throughput 7.5Mt FY2025; ~10 yr life; license 9.5 yrs. Company Mo output 13.9kt / W 7.1kt FY2025 (mine-level split with Shangfanggou not disclosed). Sulfur + rhenium recovery projects; tailings comprehensive utilization.</t>
        </is>
      </c>
      <c r="X247" s="0" t="inlineStr">
        <is>
          <t>open_pit</t>
        </is>
      </c>
      <c r="AA247" s="0" t="inlineStr">
        <is>
          <t>Mo: alloy/specialty steels; W (APT): cemented carbide, solar tungsten wire, semiconductor targets. China export controls on W products began 2025. [Commodity-level]</t>
        </is>
      </c>
    </row>
    <row r="248" ht="15.75" customHeight="1" s="74">
      <c r="A248" s="0" t="inlineStr">
        <is>
          <t>CMOC Group Limited</t>
        </is>
      </c>
      <c r="B248" s="0" t="inlineStr">
        <is>
          <t>CN</t>
        </is>
      </c>
      <c r="C248" s="0" t="inlineStr">
        <is>
          <t>Shangfanggou Mo-Fe Mine (Fuchuan Mining JV)</t>
        </is>
      </c>
      <c r="D248" s="0" t="inlineStr">
        <is>
          <t>mine</t>
        </is>
      </c>
      <c r="E248" s="0" t="inlineStr">
        <is>
          <t>CN</t>
        </is>
      </c>
      <c r="F248" s="0" t="inlineStr">
        <is>
          <t>Henan</t>
        </is>
      </c>
      <c r="G248" s="0" t="inlineStr">
        <is>
          <t>Luanchuan</t>
        </is>
      </c>
      <c r="H248" s="0" t="n">
        <v>33.75</v>
      </c>
      <c r="I248" s="0" t="n">
        <v>111.65</v>
      </c>
      <c r="J248" s="0" t="inlineStr">
        <is>
          <t>operating</t>
        </is>
      </c>
      <c r="K248" s="0" t="inlineStr">
        <is>
          <t>Molybdenum</t>
        </is>
      </c>
      <c r="N248" s="0" t="n">
        <v>2600000</v>
      </c>
      <c r="O248" s="0" t="inlineStr">
        <is>
          <t>mt ore throughput/yr (FY2025)</t>
        </is>
      </c>
      <c r="P248" s="0" t="b">
        <v>1</v>
      </c>
      <c r="Q248" s="0" t="inlineStr">
        <is>
          <t>ore</t>
        </is>
      </c>
      <c r="R248" s="0" t="inlineStr">
        <is>
          <t>2613.90</t>
        </is>
      </c>
      <c r="S248" s="0" t="inlineStr">
        <is>
          <t>jv_partner</t>
        </is>
      </c>
      <c r="U248" s="0" t="inlineStr">
        <is>
          <t>https://www.hkexnews.hk/listedco/listconews/sehk/2026/0327/2026032703784.pdf</t>
        </is>
      </c>
      <c r="V248" s="0" t="inlineStr">
        <is>
          <t>[HKEX AR 2025] Coordinates approximate (not from filing) - verify. Owned by Fuchuan Mining (JV); operation entrusted to CMOC. Resources 428.4Mt @0.139% Mo + iron 15.8Mt @20.34%; reserves 13.7Mt @0.252%; throughput 2.6Mt; ~5.3yr life; license 8 yrs. ownership_pct blank - JV split not stated in AR.</t>
        </is>
      </c>
      <c r="X248" s="0" t="inlineStr">
        <is>
          <t>open_pit</t>
        </is>
      </c>
      <c r="AA248" s="0" t="inlineStr">
        <is>
          <t>Mo: alloy steels; iron ore by-product -&gt; steel. [Commodity-level]</t>
        </is>
      </c>
    </row>
    <row r="249" ht="15.75" customHeight="1" s="74">
      <c r="A249" s="0" t="inlineStr">
        <is>
          <t>CMOC Group Limited</t>
        </is>
      </c>
      <c r="B249" s="0" t="inlineStr">
        <is>
          <t>CN</t>
        </is>
      </c>
      <c r="C249" s="0" t="inlineStr">
        <is>
          <t>CMOC Brasil Niobium Mine (Boa Vista/Catalao)</t>
        </is>
      </c>
      <c r="D249" s="0" t="inlineStr">
        <is>
          <t>mine</t>
        </is>
      </c>
      <c r="E249" s="0" t="inlineStr">
        <is>
          <t>BR</t>
        </is>
      </c>
      <c r="F249" s="0" t="inlineStr">
        <is>
          <t>Goias</t>
        </is>
      </c>
      <c r="G249" s="0" t="inlineStr">
        <is>
          <t>Catalao</t>
        </is>
      </c>
      <c r="H249" s="0" t="n">
        <v>-18.17</v>
      </c>
      <c r="I249" s="0" t="n">
        <v>-47.95</v>
      </c>
      <c r="J249" s="0" t="inlineStr">
        <is>
          <t>operating</t>
        </is>
      </c>
      <c r="K249" s="0" t="inlineStr">
        <is>
          <t>Niobium</t>
        </is>
      </c>
      <c r="N249" s="0" t="n">
        <v>10348</v>
      </c>
      <c r="O249" s="0" t="inlineStr">
        <is>
          <t>t Nb/yr (FY2025, record)</t>
        </is>
      </c>
      <c r="P249" s="0" t="b">
        <v>1</v>
      </c>
      <c r="Q249" s="0" t="inlineStr">
        <is>
          <t>refined</t>
        </is>
      </c>
      <c r="R249" s="0" t="inlineStr">
        <is>
          <t>7202.93</t>
        </is>
      </c>
      <c r="S249" s="0" t="inlineStr">
        <is>
          <t>operator</t>
        </is>
      </c>
      <c r="T249" s="0" t="n">
        <v>1</v>
      </c>
      <c r="U249" s="0" t="inlineStr">
        <is>
          <t>https://www.hkexnews.hk/listedco/listconews/sehk/2026/0327/2026032703784.pdf</t>
        </is>
      </c>
      <c r="V249" s="0" t="inlineStr">
        <is>
          <t>[HKEX AR 2025] Coordinates approximate (not from filing) - verify. World #2 ferroniobium producer. Mine area I resources 145.5Mt @1.03% + II 157.2Mt @0.34%; reserves 37.4+31.4Mt; Brazilian concessions perpetual. Record FeNb production FY2025; brownfield exploration Catalao I/II.</t>
        </is>
      </c>
      <c r="X249" s="0" t="inlineStr">
        <is>
          <t>open_pit</t>
        </is>
      </c>
      <c r="AA249" s="0" t="inlineStr">
        <is>
          <t>Ferroniobium -&gt; HSLA steel (construction, pipelines, auto lightweighting). [Commodity-level]</t>
        </is>
      </c>
    </row>
    <row r="250" ht="15.75" customHeight="1" s="74">
      <c r="A250" s="0" t="inlineStr">
        <is>
          <t>CMOC Group Limited</t>
        </is>
      </c>
      <c r="B250" s="0" t="inlineStr">
        <is>
          <t>CN</t>
        </is>
      </c>
      <c r="C250" s="0" t="inlineStr">
        <is>
          <t>CMOC Brasil Phosphate Operations (Chapadao)</t>
        </is>
      </c>
      <c r="D250" s="0" t="inlineStr">
        <is>
          <t>processing</t>
        </is>
      </c>
      <c r="E250" s="0" t="inlineStr">
        <is>
          <t>BR</t>
        </is>
      </c>
      <c r="F250" s="0" t="inlineStr">
        <is>
          <t>Goias</t>
        </is>
      </c>
      <c r="G250" s="0" t="inlineStr">
        <is>
          <t>Catalao</t>
        </is>
      </c>
      <c r="H250" s="0" t="n">
        <v>-18.2</v>
      </c>
      <c r="I250" s="0" t="n">
        <v>-47.9</v>
      </c>
      <c r="J250" s="0" t="inlineStr">
        <is>
          <t>operating</t>
        </is>
      </c>
      <c r="K250" s="0" t="inlineStr">
        <is>
          <t>Phosphate</t>
        </is>
      </c>
      <c r="N250" s="0" t="n">
        <v>1210000</v>
      </c>
      <c r="O250" s="0" t="inlineStr">
        <is>
          <t>t phosphate fertilizer/yr (FY2025)</t>
        </is>
      </c>
      <c r="P250" s="0" t="b">
        <v>1</v>
      </c>
      <c r="Q250" s="0" t="inlineStr">
        <is>
          <t>refined</t>
        </is>
      </c>
      <c r="R250" s="0" t="inlineStr">
        <is>
          <t>3105.30</t>
        </is>
      </c>
      <c r="S250" s="0" t="inlineStr">
        <is>
          <t>operator</t>
        </is>
      </c>
      <c r="T250" s="0" t="n">
        <v>1</v>
      </c>
      <c r="U250" s="0" t="inlineStr">
        <is>
          <t>https://www.hkexnews.hk/listedco/listconews/sehk/2026/0327/2026032703784.pdf</t>
        </is>
      </c>
      <c r="V250" s="0" t="inlineStr">
        <is>
          <t>[HKEX AR 2025] Coordinates approximate (not from filing) - verify. 2nd-largest Brazilian phosphate fertilizer producer. Phosphate resources 880.6Mt @10.29% (within Mine area II); reserves 182.9Mt @12.42%. Record production + recovery rates FY2025.</t>
        </is>
      </c>
      <c r="AA250" s="0" t="inlineStr">
        <is>
          <t>MAP/fertilizer for Brazilian agriculture. Fertilizer-grade - low battery relevance. [Commodity-level]</t>
        </is>
      </c>
    </row>
    <row r="251" ht="15.75" customHeight="1" s="74">
      <c r="A251" s="0" t="inlineStr">
        <is>
          <t>CMOC Group Limited</t>
        </is>
      </c>
      <c r="B251" s="0" t="inlineStr">
        <is>
          <t>CN</t>
        </is>
      </c>
      <c r="C251" s="0" t="inlineStr">
        <is>
          <t>Odin Mining Gold Project (Ecuador)</t>
        </is>
      </c>
      <c r="D251" s="0" t="inlineStr">
        <is>
          <t>mine</t>
        </is>
      </c>
      <c r="E251" s="0" t="inlineStr">
        <is>
          <t>EC</t>
        </is>
      </c>
      <c r="F251" s="0" t="inlineStr">
        <is>
          <t>El Oro</t>
        </is>
      </c>
      <c r="G251" s="0" t="inlineStr">
        <is>
          <t>(project)</t>
        </is>
      </c>
      <c r="H251" s="0" t="n">
        <v>-3.55</v>
      </c>
      <c r="I251" s="0" t="n">
        <v>-79.65000000000001</v>
      </c>
      <c r="J251" s="0" t="inlineStr">
        <is>
          <t>planned</t>
        </is>
      </c>
      <c r="K251" s="0" t="inlineStr">
        <is>
          <t>Gold</t>
        </is>
      </c>
      <c r="N251" s="0" t="n">
        <v>0</v>
      </c>
      <c r="P251" s="0" t="b">
        <v>1</v>
      </c>
      <c r="Q251" s="0" t="inlineStr">
        <is>
          <t>ore</t>
        </is>
      </c>
      <c r="R251" s="0" t="inlineStr">
        <is>
          <t>7108.12</t>
        </is>
      </c>
      <c r="S251" s="0" t="inlineStr">
        <is>
          <t>operator</t>
        </is>
      </c>
      <c r="T251" s="0" t="n">
        <v>1</v>
      </c>
      <c r="U251" s="0" t="inlineStr">
        <is>
          <t>https://www.hkexnews.hk/listedco/listconews/sehk/2026/0327/2026032703784.pdf</t>
        </is>
      </c>
      <c r="V251" s="0" t="inlineStr">
        <is>
          <t>[HKEX AR 2025] Coordinates approximate (not from filing) - verify. Acquired 100% Jun 2025 for CAD581M. Preparatory phase; planned operational 2029. Aug 2025: exclusive power supply agreement w/ Elit Corporation - 4 hydro stations, 232MW. Part of ~20t/yr gold capacity ambition. City/coords approximate - project location not detailed in AR extract, VERIFY.</t>
        </is>
      </c>
      <c r="X251" s="0" t="inlineStr">
        <is>
          <t>open_pit</t>
        </is>
      </c>
      <c r="AA251" s="0" t="inlineStr">
        <is>
          <t>Gold dore -&gt; bullion market. [Commodity-level]</t>
        </is>
      </c>
    </row>
    <row r="252" ht="15.75" customHeight="1" s="74">
      <c r="A252" s="0" t="inlineStr">
        <is>
          <t>CMOC Group Limited</t>
        </is>
      </c>
      <c r="B252" s="0" t="inlineStr">
        <is>
          <t>CN</t>
        </is>
      </c>
      <c r="C252" s="0" t="inlineStr">
        <is>
          <t>Aurizona Gold Mine</t>
        </is>
      </c>
      <c r="D252" s="0" t="inlineStr">
        <is>
          <t>mine</t>
        </is>
      </c>
      <c r="E252" s="0" t="inlineStr">
        <is>
          <t>BR</t>
        </is>
      </c>
      <c r="F252" s="0" t="inlineStr">
        <is>
          <t>Maranhao</t>
        </is>
      </c>
      <c r="G252" s="0" t="inlineStr">
        <is>
          <t>Godofredo Viana</t>
        </is>
      </c>
      <c r="H252" s="0" t="n">
        <v>-1.4</v>
      </c>
      <c r="I252" s="0" t="n">
        <v>-45.78</v>
      </c>
      <c r="J252" s="0" t="inlineStr">
        <is>
          <t>operating</t>
        </is>
      </c>
      <c r="K252" s="0" t="inlineStr">
        <is>
          <t>Gold</t>
        </is>
      </c>
      <c r="P252" s="0" t="b">
        <v>1</v>
      </c>
      <c r="Q252" s="0" t="inlineStr">
        <is>
          <t>ore</t>
        </is>
      </c>
      <c r="R252" s="0" t="inlineStr">
        <is>
          <t>7108.12</t>
        </is>
      </c>
      <c r="S252" s="0" t="inlineStr">
        <is>
          <t>operator</t>
        </is>
      </c>
      <c r="T252" s="0" t="n">
        <v>1</v>
      </c>
      <c r="U252" s="0" t="inlineStr">
        <is>
          <t>https://www.hkexnews.hk/listedco/listconews/sehk/2026/0327/2026032703784.pdf</t>
        </is>
      </c>
      <c r="V252" s="0" t="inlineStr">
        <is>
          <t>[HKEX AR 2025] Coordinates approximate (not from filing) - verify. Acquired from Equinox Gold: agreement 2025-12-24, completed 2026-01-23 ($1.015B package: $900M initial + up to $115M contingent on production). Brazil gold mines guided 6-8t combined 2026. Not in AR reserves table (post-period completion).</t>
        </is>
      </c>
      <c r="X252" s="0" t="inlineStr">
        <is>
          <t>open_pit</t>
        </is>
      </c>
      <c r="AA252" s="0" t="inlineStr">
        <is>
          <t>Gold dore -&gt; bullion. [Commodity-level]</t>
        </is>
      </c>
    </row>
    <row r="253" ht="15.75" customHeight="1" s="74">
      <c r="A253" s="0" t="inlineStr">
        <is>
          <t>CMOC Group Limited</t>
        </is>
      </c>
      <c r="B253" s="0" t="inlineStr">
        <is>
          <t>CN</t>
        </is>
      </c>
      <c r="C253" s="0" t="inlineStr">
        <is>
          <t>RDM Gold Mine</t>
        </is>
      </c>
      <c r="D253" s="0" t="inlineStr">
        <is>
          <t>mine</t>
        </is>
      </c>
      <c r="E253" s="0" t="inlineStr">
        <is>
          <t>BR</t>
        </is>
      </c>
      <c r="F253" s="0" t="inlineStr">
        <is>
          <t>Minas Gerais</t>
        </is>
      </c>
      <c r="G253" s="0" t="inlineStr">
        <is>
          <t>Riacho dos Machados</t>
        </is>
      </c>
      <c r="H253" s="0" t="n">
        <v>-16</v>
      </c>
      <c r="I253" s="0" t="n">
        <v>-42.9</v>
      </c>
      <c r="J253" s="0" t="inlineStr">
        <is>
          <t>operating</t>
        </is>
      </c>
      <c r="K253" s="0" t="inlineStr">
        <is>
          <t>Gold</t>
        </is>
      </c>
      <c r="P253" s="0" t="b">
        <v>1</v>
      </c>
      <c r="Q253" s="0" t="inlineStr">
        <is>
          <t>ore</t>
        </is>
      </c>
      <c r="R253" s="0" t="inlineStr">
        <is>
          <t>7108.12</t>
        </is>
      </c>
      <c r="S253" s="0" t="inlineStr">
        <is>
          <t>operator</t>
        </is>
      </c>
      <c r="T253" s="0" t="n">
        <v>1</v>
      </c>
      <c r="U253" s="0" t="inlineStr">
        <is>
          <t>https://www.hkexnews.hk/listedco/listconews/sehk/2026/0327/2026032703784.pdf</t>
        </is>
      </c>
      <c r="V253" s="0" t="inlineStr">
        <is>
          <t>[HKEX AR 2025] Coordinates approximate (not from filing) - verify. Ex-Equinox package (see Aurizona row).</t>
        </is>
      </c>
      <c r="X253" s="0" t="inlineStr">
        <is>
          <t>open_pit</t>
        </is>
      </c>
      <c r="AA253" s="0" t="inlineStr">
        <is>
          <t>Gold dore -&gt; bullion. [Commodity-level]</t>
        </is>
      </c>
    </row>
    <row r="254" ht="15.75" customHeight="1" s="74">
      <c r="A254" s="0" t="inlineStr">
        <is>
          <t>CMOC Group Limited</t>
        </is>
      </c>
      <c r="B254" s="0" t="inlineStr">
        <is>
          <t>CN</t>
        </is>
      </c>
      <c r="C254" s="0" t="inlineStr">
        <is>
          <t>Bahia Complex Gold Mines (Fazenda + Santaluz)</t>
        </is>
      </c>
      <c r="D254" s="0" t="inlineStr">
        <is>
          <t>mine</t>
        </is>
      </c>
      <c r="E254" s="0" t="inlineStr">
        <is>
          <t>BR</t>
        </is>
      </c>
      <c r="F254" s="0" t="inlineStr">
        <is>
          <t>Bahia</t>
        </is>
      </c>
      <c r="G254" s="0" t="inlineStr">
        <is>
          <t>Santaluz</t>
        </is>
      </c>
      <c r="H254" s="0" t="n">
        <v>-11.25</v>
      </c>
      <c r="I254" s="0" t="n">
        <v>-39.35</v>
      </c>
      <c r="J254" s="0" t="inlineStr">
        <is>
          <t>operating</t>
        </is>
      </c>
      <c r="K254" s="0" t="inlineStr">
        <is>
          <t>Gold</t>
        </is>
      </c>
      <c r="P254" s="0" t="b">
        <v>1</v>
      </c>
      <c r="Q254" s="0" t="inlineStr">
        <is>
          <t>ore</t>
        </is>
      </c>
      <c r="R254" s="0" t="inlineStr">
        <is>
          <t>7108.12</t>
        </is>
      </c>
      <c r="S254" s="0" t="inlineStr">
        <is>
          <t>operator</t>
        </is>
      </c>
      <c r="T254" s="0" t="n">
        <v>1</v>
      </c>
      <c r="U254" s="0" t="inlineStr">
        <is>
          <t>https://www.hkexnews.hk/listedco/listconews/sehk/2026/0327/2026032703784.pdf</t>
        </is>
      </c>
      <c r="V254" s="0" t="inlineStr">
        <is>
          <t>[HKEX AR 2025] Coordinates approximate (not from filing) - verify. Ex-Equinox package (see Aurizona row). Fazenda underground + Santaluz open pit; mixed mine_type - marked underground, VERIFY.</t>
        </is>
      </c>
      <c r="X254" s="0" t="inlineStr">
        <is>
          <t>underground</t>
        </is>
      </c>
      <c r="AA254" s="0" t="inlineStr">
        <is>
          <t>Gold dore -&gt; bullion. [Commodity-level]</t>
        </is>
      </c>
    </row>
    <row r="255" ht="15.75" customHeight="1" s="74">
      <c r="A255" s="0" t="inlineStr">
        <is>
          <t>Alcoa Corporation</t>
        </is>
      </c>
      <c r="B255" s="0" t="inlineStr">
        <is>
          <t>US</t>
        </is>
      </c>
      <c r="C255" s="0" t="inlineStr">
        <is>
          <t>Darling Range Bauxite Mines (Huntly + Willowdale)</t>
        </is>
      </c>
      <c r="D255" s="0" t="inlineStr">
        <is>
          <t>mine</t>
        </is>
      </c>
      <c r="E255" s="0" t="inlineStr">
        <is>
          <t>AU</t>
        </is>
      </c>
      <c r="F255" s="0" t="inlineStr">
        <is>
          <t>WA</t>
        </is>
      </c>
      <c r="G255" s="0" t="inlineStr">
        <is>
          <t>Pinjarra area</t>
        </is>
      </c>
      <c r="H255" s="0" t="n">
        <v>-32.7</v>
      </c>
      <c r="I255" s="0" t="n">
        <v>116.1</v>
      </c>
      <c r="J255" s="0" t="inlineStr">
        <is>
          <t>operating</t>
        </is>
      </c>
      <c r="K255" s="0" t="inlineStr">
        <is>
          <t>Aluminum</t>
        </is>
      </c>
      <c r="N255" s="0" t="n">
        <v>25800000</v>
      </c>
      <c r="O255" s="0" t="inlineStr">
        <is>
          <t>dmt bauxite/yr (FY2025 attributable, -7%)</t>
        </is>
      </c>
      <c r="P255" s="0" t="b">
        <v>1</v>
      </c>
      <c r="Q255" s="0" t="inlineStr">
        <is>
          <t>ore</t>
        </is>
      </c>
      <c r="R255" s="0" t="inlineStr">
        <is>
          <t>2606.00</t>
        </is>
      </c>
      <c r="S255" s="0" t="inlineStr">
        <is>
          <t>operator</t>
        </is>
      </c>
      <c r="T255" s="0" t="n">
        <v>1</v>
      </c>
      <c r="U255" s="0" t="inlineStr">
        <is>
          <t>https://www.sec.gov/Archives/edgar/data/1675149/000119312526077167/aa-20251231.htm</t>
        </is>
      </c>
      <c r="V255" s="0" t="inlineStr">
        <is>
          <t>[FY2025 10-K Item 1/2] Coordinates approximate (not from filing) - verify. Individually material property (S-K 1300, TRS Ex 96.1 eff. 2025-12-31). ML1SA lease to 2045, 702,261 ha. Feeds Pinjarra/Wagerup via conveyor. PERMITTING RISK: Feb 2026 strategic assessment agreed with federal govt under EPBC Act; 18-month national interest exemption allows continued Huntly/Willowdale mining meanwhile; A$55M enforceable undertakings (2019-25 Huntly impacts) fully accrued. Production declining on lower grades pending mine-move approvals (Myara North/Holyoake excluded from assessment). [Completion pass]: Ministerial decisions on Myara North/Holyoake targeted end-2026; new-region mining no earlier than 2029; LOWER-GRADE ore mined since Apr 2023 (elevated caustic/energy, reduced alumina output) until transition. A$100M WA EPA bank guarantees (drinking-water assurance) delivered Sep/Oct 2024.</t>
        </is>
      </c>
      <c r="X255" s="0" t="inlineStr">
        <is>
          <t>open_pit</t>
        </is>
      </c>
      <c r="AA255" s="0" t="inlineStr">
        <is>
          <t>Bauxite -&gt; alumina refining (Bayer process); third-party offtake sales 10.0 mdmt 2025. [Commodity-level]</t>
        </is>
      </c>
    </row>
    <row r="256" ht="15.75" customHeight="1" s="74">
      <c r="A256" s="0" t="inlineStr">
        <is>
          <t>Alcoa Corporation</t>
        </is>
      </c>
      <c r="B256" s="0" t="inlineStr">
        <is>
          <t>US</t>
        </is>
      </c>
      <c r="C256" s="0" t="inlineStr">
        <is>
          <t>Juruti Bauxite Mine</t>
        </is>
      </c>
      <c r="D256" s="0" t="inlineStr">
        <is>
          <t>mine</t>
        </is>
      </c>
      <c r="E256" s="0" t="inlineStr">
        <is>
          <t>BR</t>
        </is>
      </c>
      <c r="F256" s="0" t="inlineStr">
        <is>
          <t>Para</t>
        </is>
      </c>
      <c r="G256" s="0" t="inlineStr">
        <is>
          <t>Juruti</t>
        </is>
      </c>
      <c r="H256" s="0" t="n">
        <v>-2.15</v>
      </c>
      <c r="I256" s="0" t="n">
        <v>-56.1</v>
      </c>
      <c r="J256" s="0" t="inlineStr">
        <is>
          <t>operating</t>
        </is>
      </c>
      <c r="K256" s="0" t="inlineStr">
        <is>
          <t>Aluminum</t>
        </is>
      </c>
      <c r="N256" s="0" t="n">
        <v>6700000</v>
      </c>
      <c r="O256" s="0" t="inlineStr">
        <is>
          <t>dmt bauxite/yr (FY2025, +20%)</t>
        </is>
      </c>
      <c r="P256" s="0" t="b">
        <v>1</v>
      </c>
      <c r="Q256" s="0" t="inlineStr">
        <is>
          <t>ore</t>
        </is>
      </c>
      <c r="R256" s="0" t="inlineStr">
        <is>
          <t>2606.00</t>
        </is>
      </c>
      <c r="S256" s="0" t="inlineStr">
        <is>
          <t>operator</t>
        </is>
      </c>
      <c r="T256" s="0" t="n">
        <v>1</v>
      </c>
      <c r="U256" s="0" t="inlineStr">
        <is>
          <t>https://www.sec.gov/Archives/edgar/data/1675149/000119312526077167/aa-20251231.htm</t>
        </is>
      </c>
      <c r="V256" s="0" t="inlineStr">
        <is>
          <t>[FY2025 10-K Item 1/2] Coordinates approximate (not from filing) - verify. Material property (TRS Ex 96.2). Concessions no expiry (to deposit exhaustion); 200,255 ha; company rail to Juruti port. AWAB entity.</t>
        </is>
      </c>
      <c r="X256" s="0" t="inlineStr">
        <is>
          <t>open_pit</t>
        </is>
      </c>
      <c r="AA256" s="0" t="inlineStr">
        <is>
          <t>Bauxite -&gt; alumina refining (Bayer process); third-party offtake sales 10.0 mdmt 2025. [Commodity-level]</t>
        </is>
      </c>
    </row>
    <row r="257" ht="15.75" customHeight="1" s="74">
      <c r="A257" s="0" t="inlineStr">
        <is>
          <t>Alcoa Corporation</t>
        </is>
      </c>
      <c r="B257" s="0" t="inlineStr">
        <is>
          <t>US</t>
        </is>
      </c>
      <c r="C257" s="0" t="inlineStr">
        <is>
          <t>Pocos de Caldas Bauxite Mine</t>
        </is>
      </c>
      <c r="D257" s="0" t="inlineStr">
        <is>
          <t>mine</t>
        </is>
      </c>
      <c r="E257" s="0" t="inlineStr">
        <is>
          <t>BR</t>
        </is>
      </c>
      <c r="F257" s="0" t="inlineStr">
        <is>
          <t>Minas Gerais</t>
        </is>
      </c>
      <c r="G257" s="0" t="inlineStr">
        <is>
          <t>Pocos de Caldas</t>
        </is>
      </c>
      <c r="H257" s="0" t="n">
        <v>-21.8</v>
      </c>
      <c r="I257" s="0" t="n">
        <v>-46.6</v>
      </c>
      <c r="J257" s="0" t="inlineStr">
        <is>
          <t>operating</t>
        </is>
      </c>
      <c r="K257" s="0" t="inlineStr">
        <is>
          <t>Aluminum</t>
        </is>
      </c>
      <c r="N257" s="0" t="n">
        <v>500000</v>
      </c>
      <c r="O257" s="0" t="inlineStr">
        <is>
          <t>dmt bauxite/yr (FY2025)</t>
        </is>
      </c>
      <c r="P257" s="0" t="b">
        <v>1</v>
      </c>
      <c r="Q257" s="0" t="inlineStr">
        <is>
          <t>ore</t>
        </is>
      </c>
      <c r="R257" s="0" t="inlineStr">
        <is>
          <t>2606.00</t>
        </is>
      </c>
      <c r="S257" s="0" t="inlineStr">
        <is>
          <t>operator</t>
        </is>
      </c>
      <c r="T257" s="0" t="n">
        <v>1</v>
      </c>
      <c r="U257" s="0" t="inlineStr">
        <is>
          <t>https://www.sec.gov/Archives/edgar/data/1675149/000119312526077167/aa-20251231.htm</t>
        </is>
      </c>
      <c r="V257" s="0" t="inlineStr">
        <is>
          <t>[FY2025 10-K Item 1/2] Coordinates approximate (not from filing) - verify. Mining rights to 2035; ROM trucked to co-located refinery.</t>
        </is>
      </c>
      <c r="X257" s="0" t="inlineStr">
        <is>
          <t>open_pit</t>
        </is>
      </c>
      <c r="AA257" s="0" t="inlineStr">
        <is>
          <t>Bauxite -&gt; alumina refining (Bayer process); third-party offtake sales 10.0 mdmt 2025. [Commodity-level]</t>
        </is>
      </c>
    </row>
    <row r="258" ht="15.75" customHeight="1" s="74">
      <c r="A258" s="0" t="inlineStr">
        <is>
          <t>Alcoa Corporation</t>
        </is>
      </c>
      <c r="B258" s="0" t="inlineStr">
        <is>
          <t>US</t>
        </is>
      </c>
      <c r="C258" s="0" t="inlineStr">
        <is>
          <t>Boke/Sangaredi Bauxite Mine (CBG)</t>
        </is>
      </c>
      <c r="D258" s="0" t="inlineStr">
        <is>
          <t>mine</t>
        </is>
      </c>
      <c r="E258" s="0" t="inlineStr">
        <is>
          <t>GN</t>
        </is>
      </c>
      <c r="F258" s="0" t="inlineStr">
        <is>
          <t>Boke</t>
        </is>
      </c>
      <c r="G258" s="0" t="inlineStr">
        <is>
          <t>Sangaredi</t>
        </is>
      </c>
      <c r="H258" s="0" t="n">
        <v>11.1</v>
      </c>
      <c r="I258" s="0" t="n">
        <v>-13.8</v>
      </c>
      <c r="J258" s="0" t="inlineStr">
        <is>
          <t>operating</t>
        </is>
      </c>
      <c r="K258" s="0" t="inlineStr">
        <is>
          <t>Aluminum</t>
        </is>
      </c>
      <c r="N258" s="0" t="n">
        <v>3700000</v>
      </c>
      <c r="O258" s="0" t="inlineStr">
        <is>
          <t>dmt bauxite/yr (FY2025, Alcoa 22.95% share)</t>
        </is>
      </c>
      <c r="P258" s="0" t="b">
        <v>1</v>
      </c>
      <c r="Q258" s="0" t="inlineStr">
        <is>
          <t>ore</t>
        </is>
      </c>
      <c r="R258" s="0" t="inlineStr">
        <is>
          <t>2606.00</t>
        </is>
      </c>
      <c r="S258" s="0" t="inlineStr">
        <is>
          <t>jv_partner</t>
        </is>
      </c>
      <c r="T258" s="0" t="n">
        <v>0.2295</v>
      </c>
      <c r="U258" s="0" t="inlineStr">
        <is>
          <t>https://www.sec.gov/Archives/edgar/data/1675149/000119312526077167/aa-20251231.htm</t>
        </is>
      </c>
      <c r="V258" s="0" t="inlineStr">
        <is>
          <t>[FY2025 10-K Item 1/2] Coordinates approximate (not from filing) - verify. CBG consortium; lease to 2039 renewable 25-yr increments; rail to Kamsar port. Alcoa purchases can differ from equity share.</t>
        </is>
      </c>
      <c r="X258" s="0" t="inlineStr">
        <is>
          <t>open_pit</t>
        </is>
      </c>
      <c r="AA258" s="0" t="inlineStr">
        <is>
          <t>Bauxite -&gt; alumina refining (Bayer process); third-party offtake sales 10.0 mdmt 2025. [Commodity-level]</t>
        </is>
      </c>
    </row>
    <row r="259" ht="15.75" customHeight="1" s="74">
      <c r="A259" s="0" t="inlineStr">
        <is>
          <t>Alcoa Corporation</t>
        </is>
      </c>
      <c r="B259" s="0" t="inlineStr">
        <is>
          <t>US</t>
        </is>
      </c>
      <c r="C259" s="0" t="inlineStr">
        <is>
          <t>Pinjarra Alumina Refinery</t>
        </is>
      </c>
      <c r="D259" s="0" t="inlineStr">
        <is>
          <t>refinery</t>
        </is>
      </c>
      <c r="E259" s="0" t="inlineStr">
        <is>
          <t>AU</t>
        </is>
      </c>
      <c r="F259" s="0" t="inlineStr">
        <is>
          <t>WA</t>
        </is>
      </c>
      <c r="G259" s="0" t="inlineStr">
        <is>
          <t>Pinjarra</t>
        </is>
      </c>
      <c r="H259" s="0" t="n">
        <v>-32.63</v>
      </c>
      <c r="I259" s="0" t="n">
        <v>115.88</v>
      </c>
      <c r="J259" s="0" t="inlineStr">
        <is>
          <t>operating</t>
        </is>
      </c>
      <c r="K259" s="0" t="inlineStr">
        <is>
          <t>Aluminum</t>
        </is>
      </c>
      <c r="L259" s="0" t="n">
        <v>4700000</v>
      </c>
      <c r="M259" s="0" t="inlineStr">
        <is>
          <t>t/yr</t>
        </is>
      </c>
      <c r="P259" s="0" t="b">
        <v>1</v>
      </c>
      <c r="Q259" s="0" t="inlineStr">
        <is>
          <t>intermediate</t>
        </is>
      </c>
      <c r="R259" s="0" t="inlineStr">
        <is>
          <t>2818.20</t>
        </is>
      </c>
      <c r="S259" s="0" t="inlineStr">
        <is>
          <t>operator</t>
        </is>
      </c>
      <c r="T259" s="0" t="n">
        <v>1</v>
      </c>
      <c r="U259" s="0" t="inlineStr">
        <is>
          <t>https://www.sec.gov/Archives/edgar/data/1675149/000119312526077167/aa-20251231.htm</t>
        </is>
      </c>
      <c r="V259" s="0" t="inlineStr">
        <is>
          <t>[FY2025 10-K Item 1/2] Coordinates approximate (not from filing) - verify. AofA (Alcoa 60% of AWAC structure? consolidated 4,700kt in filing table - Alcoa Corp consolidated share shown equal). One of six 2025 record-production sites per strategy section (verify site list). [Completion pass]: AWAC structure resolved - Alumina Ltd acquired Aug 2024, AU refineries 100% Alcoa; consolidated=nameplate correct. [capacity detail: mt alumina/yr nameplate]</t>
        </is>
      </c>
      <c r="AA259" s="0" t="inlineStr">
        <is>
          <t>Smelter-grade alumina -&gt; aluminum smelting (34% shipped to own smelters); non-met grade -&gt; chemicals. [Commodity-level]</t>
        </is>
      </c>
    </row>
    <row r="260" ht="15.75" customHeight="1" s="74">
      <c r="A260" s="0" t="inlineStr">
        <is>
          <t>Alcoa Corporation</t>
        </is>
      </c>
      <c r="B260" s="0" t="inlineStr">
        <is>
          <t>US</t>
        </is>
      </c>
      <c r="C260" s="0" t="inlineStr">
        <is>
          <t>Wagerup Alumina Refinery</t>
        </is>
      </c>
      <c r="D260" s="0" t="inlineStr">
        <is>
          <t>refinery</t>
        </is>
      </c>
      <c r="E260" s="0" t="inlineStr">
        <is>
          <t>AU</t>
        </is>
      </c>
      <c r="F260" s="0" t="inlineStr">
        <is>
          <t>WA</t>
        </is>
      </c>
      <c r="G260" s="0" t="inlineStr">
        <is>
          <t>Wagerup</t>
        </is>
      </c>
      <c r="H260" s="0" t="n">
        <v>-32.92</v>
      </c>
      <c r="I260" s="0" t="n">
        <v>115.91</v>
      </c>
      <c r="J260" s="0" t="inlineStr">
        <is>
          <t>operating</t>
        </is>
      </c>
      <c r="K260" s="0" t="inlineStr">
        <is>
          <t>Aluminum</t>
        </is>
      </c>
      <c r="L260" s="0" t="n">
        <v>2879000</v>
      </c>
      <c r="M260" s="0" t="inlineStr">
        <is>
          <t>t/yr</t>
        </is>
      </c>
      <c r="P260" s="0" t="b">
        <v>1</v>
      </c>
      <c r="Q260" s="0" t="inlineStr">
        <is>
          <t>intermediate</t>
        </is>
      </c>
      <c r="R260" s="0" t="inlineStr">
        <is>
          <t>2818.20</t>
        </is>
      </c>
      <c r="S260" s="0" t="inlineStr">
        <is>
          <t>operator</t>
        </is>
      </c>
      <c r="T260" s="0" t="n">
        <v>1</v>
      </c>
      <c r="U260" s="0" t="inlineStr">
        <is>
          <t>https://www.sec.gov/Archives/edgar/data/1675149/000119312526077167/aa-20251231.htm</t>
        </is>
      </c>
      <c r="V260" s="0" t="inlineStr">
        <is>
          <t>[FY2025 10-K Item 1/2] Coordinates approximate (not from filing) - verify.  [capacity detail: mt alumina/yr nameplate]</t>
        </is>
      </c>
      <c r="AA260" s="0" t="inlineStr">
        <is>
          <t>Smelter-grade alumina -&gt; aluminum smelting (34% shipped to own smelters); non-met grade -&gt; chemicals. [Commodity-level]</t>
        </is>
      </c>
    </row>
    <row r="261" ht="15.75" customHeight="1" s="74">
      <c r="A261" s="0" t="inlineStr">
        <is>
          <t>Alcoa Corporation</t>
        </is>
      </c>
      <c r="B261" s="0" t="inlineStr">
        <is>
          <t>US</t>
        </is>
      </c>
      <c r="C261" s="0" t="inlineStr">
        <is>
          <t>Kwinana Alumina Refinery</t>
        </is>
      </c>
      <c r="D261" s="0" t="inlineStr">
        <is>
          <t>refinery</t>
        </is>
      </c>
      <c r="E261" s="0" t="inlineStr">
        <is>
          <t>AU</t>
        </is>
      </c>
      <c r="F261" s="0" t="inlineStr">
        <is>
          <t>WA</t>
        </is>
      </c>
      <c r="G261" s="0" t="inlineStr">
        <is>
          <t>Kwinana</t>
        </is>
      </c>
      <c r="H261" s="0" t="n">
        <v>-32.23</v>
      </c>
      <c r="I261" s="0" t="n">
        <v>115.79</v>
      </c>
      <c r="J261" s="0" t="inlineStr">
        <is>
          <t>closed</t>
        </is>
      </c>
      <c r="K261" s="0" t="inlineStr">
        <is>
          <t>Aluminum</t>
        </is>
      </c>
      <c r="L261" s="0" t="n">
        <v>2190000</v>
      </c>
      <c r="M261" s="0" t="inlineStr">
        <is>
          <t>t/yr</t>
        </is>
      </c>
      <c r="N261" s="0" t="n">
        <v>0</v>
      </c>
      <c r="P261" s="0" t="b">
        <v>1</v>
      </c>
      <c r="Q261" s="0" t="inlineStr">
        <is>
          <t>intermediate</t>
        </is>
      </c>
      <c r="R261" s="0" t="inlineStr">
        <is>
          <t>2818.20</t>
        </is>
      </c>
      <c r="S261" s="0" t="inlineStr">
        <is>
          <t>operator</t>
        </is>
      </c>
      <c r="T261" s="0" t="n">
        <v>1</v>
      </c>
      <c r="U261" s="0" t="inlineStr">
        <is>
          <t>https://www.sec.gov/Archives/edgar/data/1675149/000119312526077167/aa-20251231.htm</t>
        </is>
      </c>
      <c r="V261" s="0" t="inlineStr">
        <is>
          <t>[FY2025 10-K Item 1/2] Coordinates approximate (not from filing) - verify. PERMANENTLY CLOSED Sep 2025 (fully curtailed since Jun 2024; ran ~80% before). 2025 charges $856M restructuring + $39M inventory; cash outlays $212M 2025 + ~$525M through 2031 ($120M in 2026). Demolition/remediation 2026-2031. ~190 employees at YE25 winding down. [capacity detail: mt alumina/yr (pre-closure nameplate)]</t>
        </is>
      </c>
      <c r="AA261" s="0" t="inlineStr">
        <is>
          <t>Smelter-grade alumina -&gt; aluminum smelting (34% shipped to own smelters); non-met grade -&gt; chemicals. [Commodity-level]</t>
        </is>
      </c>
    </row>
    <row r="262" ht="15.75" customHeight="1" s="74">
      <c r="A262" s="0" t="inlineStr">
        <is>
          <t>Alcoa Corporation</t>
        </is>
      </c>
      <c r="B262" s="0" t="inlineStr">
        <is>
          <t>US</t>
        </is>
      </c>
      <c r="C262" s="0" t="inlineStr">
        <is>
          <t>Pocos de Caldas Alumina Refinery</t>
        </is>
      </c>
      <c r="D262" s="0" t="inlineStr">
        <is>
          <t>refinery</t>
        </is>
      </c>
      <c r="E262" s="0" t="inlineStr">
        <is>
          <t>BR</t>
        </is>
      </c>
      <c r="F262" s="0" t="inlineStr">
        <is>
          <t>Minas Gerais</t>
        </is>
      </c>
      <c r="G262" s="0" t="inlineStr">
        <is>
          <t>Pocos de Caldas</t>
        </is>
      </c>
      <c r="H262" s="0" t="n">
        <v>-21.8</v>
      </c>
      <c r="I262" s="0" t="n">
        <v>-46.6</v>
      </c>
      <c r="J262" s="0" t="inlineStr">
        <is>
          <t>operating</t>
        </is>
      </c>
      <c r="K262" s="0" t="inlineStr">
        <is>
          <t>Aluminum</t>
        </is>
      </c>
      <c r="L262" s="0" t="n">
        <v>390000</v>
      </c>
      <c r="M262" s="0" t="inlineStr">
        <is>
          <t>t/yr</t>
        </is>
      </c>
      <c r="P262" s="0" t="b">
        <v>1</v>
      </c>
      <c r="Q262" s="0" t="inlineStr">
        <is>
          <t>intermediate</t>
        </is>
      </c>
      <c r="R262" s="0" t="inlineStr">
        <is>
          <t>2818.20</t>
        </is>
      </c>
      <c r="S262" s="0" t="inlineStr">
        <is>
          <t>operator</t>
        </is>
      </c>
      <c r="T262" s="0" t="n">
        <v>1</v>
      </c>
      <c r="U262" s="0" t="inlineStr">
        <is>
          <t>https://www.sec.gov/Archives/edgar/data/1675149/000119312526077167/aa-20251231.htm</t>
        </is>
      </c>
      <c r="V262" s="0" t="inlineStr">
        <is>
          <t>[FY2025 10-K Item 1/2] Coordinates approximate (not from filing) - verify. 214 kt idle at YE2025. Sep 2025: $42M charge for bauxite residue area closure-estimate change (impoundment stability regs; compliance work Oct 2026-Nov 2029); ARO charges primary driver of Alumina segment EBITDA decline. [capacity detail: mt alumina/yr nameplate]</t>
        </is>
      </c>
      <c r="AA262" s="0" t="inlineStr">
        <is>
          <t>Smelter-grade alumina -&gt; aluminum smelting (34% shipped to own smelters); non-met grade -&gt; chemicals. [Commodity-level]</t>
        </is>
      </c>
    </row>
    <row r="263" ht="15.75" customHeight="1" s="74">
      <c r="A263" s="0" t="inlineStr">
        <is>
          <t>Alcoa Corporation</t>
        </is>
      </c>
      <c r="B263" s="0" t="inlineStr">
        <is>
          <t>US</t>
        </is>
      </c>
      <c r="C263" s="0" t="inlineStr">
        <is>
          <t>Alumar Alumina Refinery (Sao Luis)</t>
        </is>
      </c>
      <c r="D263" s="0" t="inlineStr">
        <is>
          <t>refinery</t>
        </is>
      </c>
      <c r="E263" s="0" t="inlineStr">
        <is>
          <t>BR</t>
        </is>
      </c>
      <c r="F263" s="0" t="inlineStr">
        <is>
          <t>Maranhao</t>
        </is>
      </c>
      <c r="G263" s="0" t="inlineStr">
        <is>
          <t>Sao Luis</t>
        </is>
      </c>
      <c r="H263" s="0" t="n">
        <v>-2.57</v>
      </c>
      <c r="I263" s="0" t="n">
        <v>-44.37</v>
      </c>
      <c r="J263" s="0" t="inlineStr">
        <is>
          <t>operating</t>
        </is>
      </c>
      <c r="K263" s="0" t="inlineStr">
        <is>
          <t>Aluminum</t>
        </is>
      </c>
      <c r="L263" s="0" t="n">
        <v>2084000</v>
      </c>
      <c r="M263" s="0" t="inlineStr">
        <is>
          <t>t/yr</t>
        </is>
      </c>
      <c r="P263" s="0" t="b">
        <v>1</v>
      </c>
      <c r="Q263" s="0" t="inlineStr">
        <is>
          <t>intermediate</t>
        </is>
      </c>
      <c r="R263" s="0" t="inlineStr">
        <is>
          <t>2818.20</t>
        </is>
      </c>
      <c r="S263" s="0" t="inlineStr">
        <is>
          <t>jv_partner</t>
        </is>
      </c>
      <c r="T263" s="0" t="n">
        <v>0.54</v>
      </c>
      <c r="U263" s="0" t="inlineStr">
        <is>
          <t>https://www.sec.gov/Archives/edgar/data/1675149/000119312526077167/aa-20251231.htm</t>
        </is>
      </c>
      <c r="V263" s="0" t="inlineStr">
        <is>
          <t>[FY2025 10-K Item 1/2] Coordinates approximate (not from filing) - verify. Alcoa share 54% of nameplate. [capacity detail: mt alumina/yr (Alcoa consolidated share of 3,860kt nameplate)]</t>
        </is>
      </c>
      <c r="AA263" s="0" t="inlineStr">
        <is>
          <t>Smelter-grade alumina -&gt; aluminum smelting (34% shipped to own smelters); non-met grade -&gt; chemicals. [Commodity-level]</t>
        </is>
      </c>
    </row>
    <row r="264" ht="15.75" customHeight="1" s="74">
      <c r="A264" s="0" t="inlineStr">
        <is>
          <t>Alcoa Corporation</t>
        </is>
      </c>
      <c r="B264" s="0" t="inlineStr">
        <is>
          <t>US</t>
        </is>
      </c>
      <c r="C264" s="0" t="inlineStr">
        <is>
          <t>San Ciprian Alumina Refinery</t>
        </is>
      </c>
      <c r="D264" s="0" t="inlineStr">
        <is>
          <t>refinery</t>
        </is>
      </c>
      <c r="E264" s="0" t="inlineStr">
        <is>
          <t>ES</t>
        </is>
      </c>
      <c r="F264" s="0" t="inlineStr">
        <is>
          <t>Galicia</t>
        </is>
      </c>
      <c r="G264" s="0" t="inlineStr">
        <is>
          <t>San Cibrao</t>
        </is>
      </c>
      <c r="H264" s="0" t="n">
        <v>43.7</v>
      </c>
      <c r="I264" s="0" t="n">
        <v>-7.44</v>
      </c>
      <c r="J264" s="0" t="inlineStr">
        <is>
          <t>operating</t>
        </is>
      </c>
      <c r="K264" s="0" t="inlineStr">
        <is>
          <t>Aluminum</t>
        </is>
      </c>
      <c r="L264" s="0" t="n">
        <v>1600000</v>
      </c>
      <c r="M264" s="0" t="inlineStr">
        <is>
          <t>t/yr</t>
        </is>
      </c>
      <c r="P264" s="0" t="b">
        <v>1</v>
      </c>
      <c r="Q264" s="0" t="inlineStr">
        <is>
          <t>intermediate</t>
        </is>
      </c>
      <c r="R264" s="0" t="inlineStr">
        <is>
          <t>2818.20</t>
        </is>
      </c>
      <c r="S264" s="0" t="inlineStr">
        <is>
          <t>jv_partner</t>
        </is>
      </c>
      <c r="T264" s="0" t="n">
        <v>0.75</v>
      </c>
      <c r="U264" s="0" t="inlineStr">
        <is>
          <t>https://www.sec.gov/Archives/edgar/data/1675149/000119312526077167/aa-20251231.htm</t>
        </is>
      </c>
      <c r="V264" s="0" t="inlineStr">
        <is>
          <t>[FY2025 10-K Item 1/2] Coordinates approximate (not from filing) - verify. 800 kt idle (running ~50% since 2022 gas-cost curtailment). JV since 3/31/25: Alcoa 75% managing operator / Trento EQT (ex-IGNIS) 25%. [capacity detail: mt alumina/yr nameplate]</t>
        </is>
      </c>
      <c r="AA264" s="0" t="inlineStr">
        <is>
          <t>Smelter-grade alumina -&gt; aluminum smelting (34% shipped to own smelters); non-met grade -&gt; chemicals. [Commodity-level]</t>
        </is>
      </c>
    </row>
    <row r="265" ht="15.75" customHeight="1" s="74">
      <c r="A265" s="0" t="inlineStr">
        <is>
          <t>Alcoa Corporation</t>
        </is>
      </c>
      <c r="B265" s="0" t="inlineStr">
        <is>
          <t>US</t>
        </is>
      </c>
      <c r="C265" s="0" t="inlineStr">
        <is>
          <t>Portland Aluminium Smelter</t>
        </is>
      </c>
      <c r="D265" s="0" t="inlineStr">
        <is>
          <t>smelter</t>
        </is>
      </c>
      <c r="E265" s="0" t="inlineStr">
        <is>
          <t>AU</t>
        </is>
      </c>
      <c r="F265" s="0" t="inlineStr">
        <is>
          <t>Victoria</t>
        </is>
      </c>
      <c r="G265" s="0" t="inlineStr">
        <is>
          <t>Portland</t>
        </is>
      </c>
      <c r="H265" s="0" t="n">
        <v>-38.4</v>
      </c>
      <c r="I265" s="0" t="n">
        <v>141.6</v>
      </c>
      <c r="J265" s="0" t="inlineStr">
        <is>
          <t>operating</t>
        </is>
      </c>
      <c r="K265" s="0" t="inlineStr">
        <is>
          <t>Aluminum</t>
        </is>
      </c>
      <c r="L265" s="0" t="n">
        <v>197000</v>
      </c>
      <c r="M265" s="0" t="inlineStr">
        <is>
          <t>t/yr</t>
        </is>
      </c>
      <c r="P265" s="0" t="b">
        <v>1</v>
      </c>
      <c r="Q265" s="0" t="inlineStr">
        <is>
          <t>refined</t>
        </is>
      </c>
      <c r="R265" s="0" t="inlineStr">
        <is>
          <t>7601.10</t>
        </is>
      </c>
      <c r="S265" s="0" t="inlineStr">
        <is>
          <t>jv_partner</t>
        </is>
      </c>
      <c r="T265" s="0" t="n">
        <v>0.55</v>
      </c>
      <c r="U265" s="0" t="inlineStr">
        <is>
          <t>https://www.sec.gov/Archives/edgar/data/1675149/000119312526077167/aa-20251231.htm</t>
        </is>
      </c>
      <c r="V265" s="0" t="inlineStr">
        <is>
          <t>[FY2025 10-K Item 1/2] Coordinates approximate (not from filing) - verify. 28 kt idle at YE2025. [capacity detail: mt Al/yr (Alcoa share of 358kt)]</t>
        </is>
      </c>
      <c r="AA265" s="0" t="inlineStr">
        <is>
          <t>Primary aluminum -&gt; transportation, construction, packaging, electrical; EV relevance: battery enclosures, busbars, body. [Commodity-level]</t>
        </is>
      </c>
    </row>
    <row r="266" ht="15.75" customHeight="1" s="74">
      <c r="A266" s="0" t="inlineStr">
        <is>
          <t>Alcoa Corporation</t>
        </is>
      </c>
      <c r="B266" s="0" t="inlineStr">
        <is>
          <t>US</t>
        </is>
      </c>
      <c r="C266" s="0" t="inlineStr">
        <is>
          <t>Alumar Aluminium Smelter (Sao Luis)</t>
        </is>
      </c>
      <c r="D266" s="0" t="inlineStr">
        <is>
          <t>smelter</t>
        </is>
      </c>
      <c r="E266" s="0" t="inlineStr">
        <is>
          <t>BR</t>
        </is>
      </c>
      <c r="F266" s="0" t="inlineStr">
        <is>
          <t>Maranhao</t>
        </is>
      </c>
      <c r="G266" s="0" t="inlineStr">
        <is>
          <t>Sao Luis</t>
        </is>
      </c>
      <c r="H266" s="0" t="n">
        <v>-2.57</v>
      </c>
      <c r="I266" s="0" t="n">
        <v>-44.37</v>
      </c>
      <c r="J266" s="0" t="inlineStr">
        <is>
          <t>operating</t>
        </is>
      </c>
      <c r="K266" s="0" t="inlineStr">
        <is>
          <t>Aluminum</t>
        </is>
      </c>
      <c r="L266" s="0" t="n">
        <v>268000</v>
      </c>
      <c r="M266" s="0" t="inlineStr">
        <is>
          <t>t/yr</t>
        </is>
      </c>
      <c r="P266" s="0" t="b">
        <v>1</v>
      </c>
      <c r="Q266" s="0" t="inlineStr">
        <is>
          <t>refined</t>
        </is>
      </c>
      <c r="R266" s="0" t="inlineStr">
        <is>
          <t>7601.10</t>
        </is>
      </c>
      <c r="S266" s="0" t="inlineStr">
        <is>
          <t>jv_partner</t>
        </is>
      </c>
      <c r="T266" s="0" t="n">
        <v>0.6</v>
      </c>
      <c r="U266" s="0" t="inlineStr">
        <is>
          <t>https://www.sec.gov/Archives/edgar/data/1675149/000119312526077167/aa-20251231.htm</t>
        </is>
      </c>
      <c r="V266" s="0" t="inlineStr">
        <is>
          <t>[FY2025 10-K Item 1/2] Coordinates approximate (not from filing) - verify. Restart progressed to ~91% of capacity at YE2025; 25 kt idle. [capacity detail: mt Al/yr (Alcoa share of 447kt)]</t>
        </is>
      </c>
      <c r="AA266" s="0" t="inlineStr">
        <is>
          <t>Primary aluminum -&gt; transportation, construction, packaging, electrical; EV relevance: battery enclosures, busbars, body. [Commodity-level]</t>
        </is>
      </c>
    </row>
    <row r="267" ht="15.75" customHeight="1" s="74">
      <c r="A267" s="0" t="inlineStr">
        <is>
          <t>Alcoa Corporation</t>
        </is>
      </c>
      <c r="B267" s="0" t="inlineStr">
        <is>
          <t>US</t>
        </is>
      </c>
      <c r="C267" s="0" t="inlineStr">
        <is>
          <t>Baie-Comeau Smelter</t>
        </is>
      </c>
      <c r="D267" s="0" t="inlineStr">
        <is>
          <t>smelter</t>
        </is>
      </c>
      <c r="E267" s="0" t="inlineStr">
        <is>
          <t>CA</t>
        </is>
      </c>
      <c r="F267" s="0" t="inlineStr">
        <is>
          <t>Quebec</t>
        </is>
      </c>
      <c r="G267" s="0" t="inlineStr">
        <is>
          <t>Baie-Comeau</t>
        </is>
      </c>
      <c r="H267" s="0" t="n">
        <v>49.22</v>
      </c>
      <c r="I267" s="0" t="n">
        <v>-68.15000000000001</v>
      </c>
      <c r="J267" s="0" t="inlineStr">
        <is>
          <t>operating</t>
        </is>
      </c>
      <c r="K267" s="0" t="inlineStr">
        <is>
          <t>Aluminum</t>
        </is>
      </c>
      <c r="L267" s="0" t="n">
        <v>324000</v>
      </c>
      <c r="M267" s="0" t="inlineStr">
        <is>
          <t>t/yr</t>
        </is>
      </c>
      <c r="P267" s="0" t="b">
        <v>1</v>
      </c>
      <c r="Q267" s="0" t="inlineStr">
        <is>
          <t>refined</t>
        </is>
      </c>
      <c r="R267" s="0" t="inlineStr">
        <is>
          <t>7601.10</t>
        </is>
      </c>
      <c r="S267" s="0" t="inlineStr">
        <is>
          <t>operator</t>
        </is>
      </c>
      <c r="T267" s="0" t="n">
        <v>1</v>
      </c>
      <c r="U267" s="0" t="inlineStr">
        <is>
          <t>https://www.sec.gov/Archives/edgar/data/1675149/000119312526077167/aa-20251231.htm</t>
        </is>
      </c>
      <c r="V267" s="0" t="inlineStr">
        <is>
          <t>[FY2025 10-K Item 1/2] Coordinates approximate (not from filing) - verify. ~25% power from Manicouagan LP (to Feb 2036), rest Hydro-Quebec to 2029. S232 EXPOSURE: Canadian Al into US tariffed 25% (Mar 2025) -&gt; 50% (Jun 2025); Midwest premium +211% covers tariff at current levels. [capacity detail: mt Al/yr]</t>
        </is>
      </c>
      <c r="AA267" s="0" t="inlineStr">
        <is>
          <t>Primary aluminum -&gt; transportation, construction, packaging, electrical; EV relevance: battery enclosures, busbars, body. [Commodity-level]</t>
        </is>
      </c>
    </row>
    <row r="268" ht="15.75" customHeight="1" s="74">
      <c r="A268" s="0" t="inlineStr">
        <is>
          <t>Alcoa Corporation</t>
        </is>
      </c>
      <c r="B268" s="0" t="inlineStr">
        <is>
          <t>US</t>
        </is>
      </c>
      <c r="C268" s="0" t="inlineStr">
        <is>
          <t>Becancour Smelter (ABI)</t>
        </is>
      </c>
      <c r="D268" s="0" t="inlineStr">
        <is>
          <t>smelter</t>
        </is>
      </c>
      <c r="E268" s="0" t="inlineStr">
        <is>
          <t>CA</t>
        </is>
      </c>
      <c r="F268" s="0" t="inlineStr">
        <is>
          <t>Quebec</t>
        </is>
      </c>
      <c r="G268" s="0" t="inlineStr">
        <is>
          <t>Becancour</t>
        </is>
      </c>
      <c r="H268" s="0" t="n">
        <v>46.4</v>
      </c>
      <c r="I268" s="0" t="n">
        <v>-72.40000000000001</v>
      </c>
      <c r="J268" s="0" t="inlineStr">
        <is>
          <t>operating</t>
        </is>
      </c>
      <c r="K268" s="0" t="inlineStr">
        <is>
          <t>Aluminum</t>
        </is>
      </c>
      <c r="L268" s="0" t="n">
        <v>350000</v>
      </c>
      <c r="M268" s="0" t="inlineStr">
        <is>
          <t>t/yr</t>
        </is>
      </c>
      <c r="P268" s="0" t="b">
        <v>1</v>
      </c>
      <c r="Q268" s="0" t="inlineStr">
        <is>
          <t>refined</t>
        </is>
      </c>
      <c r="R268" s="0" t="inlineStr">
        <is>
          <t>7601.10</t>
        </is>
      </c>
      <c r="S268" s="0" t="inlineStr">
        <is>
          <t>jv_partner</t>
        </is>
      </c>
      <c r="T268" s="0" t="n">
        <v>0.7495000000000001</v>
      </c>
      <c r="U268" s="0" t="inlineStr">
        <is>
          <t>https://www.sec.gov/Archives/edgar/data/1675149/000119312526077167/aa-20251231.htm</t>
        </is>
      </c>
      <c r="V268" s="0" t="inlineStr">
        <is>
          <t>[FY2025 10-K Item 1/2] Coordinates approximate (not from filing) - verify. S232 exposure as Baie-Comeau. [capacity detail: mt Al/yr (Alcoa share of 467kt)]</t>
        </is>
      </c>
      <c r="AA268" s="0" t="inlineStr">
        <is>
          <t>Primary aluminum -&gt; transportation, construction, packaging, electrical; EV relevance: battery enclosures, busbars, body. [Commodity-level]</t>
        </is>
      </c>
    </row>
    <row r="269" ht="15.75" customHeight="1" s="74">
      <c r="A269" s="0" t="inlineStr">
        <is>
          <t>Alcoa Corporation</t>
        </is>
      </c>
      <c r="B269" s="0" t="inlineStr">
        <is>
          <t>US</t>
        </is>
      </c>
      <c r="C269" s="0" t="inlineStr">
        <is>
          <t>Deschambault Smelter</t>
        </is>
      </c>
      <c r="D269" s="0" t="inlineStr">
        <is>
          <t>smelter</t>
        </is>
      </c>
      <c r="E269" s="0" t="inlineStr">
        <is>
          <t>CA</t>
        </is>
      </c>
      <c r="F269" s="0" t="inlineStr">
        <is>
          <t>Quebec</t>
        </is>
      </c>
      <c r="G269" s="0" t="inlineStr">
        <is>
          <t>Deschambault</t>
        </is>
      </c>
      <c r="H269" s="0" t="n">
        <v>46.65</v>
      </c>
      <c r="I269" s="0" t="n">
        <v>-71.92</v>
      </c>
      <c r="J269" s="0" t="inlineStr">
        <is>
          <t>operating</t>
        </is>
      </c>
      <c r="K269" s="0" t="inlineStr">
        <is>
          <t>Aluminum</t>
        </is>
      </c>
      <c r="L269" s="0" t="n">
        <v>287000</v>
      </c>
      <c r="M269" s="0" t="inlineStr">
        <is>
          <t>t/yr</t>
        </is>
      </c>
      <c r="P269" s="0" t="b">
        <v>1</v>
      </c>
      <c r="Q269" s="0" t="inlineStr">
        <is>
          <t>refined</t>
        </is>
      </c>
      <c r="R269" s="0" t="inlineStr">
        <is>
          <t>7601.10</t>
        </is>
      </c>
      <c r="S269" s="0" t="inlineStr">
        <is>
          <t>operator</t>
        </is>
      </c>
      <c r="T269" s="0" t="n">
        <v>1</v>
      </c>
      <c r="U269" s="0" t="inlineStr">
        <is>
          <t>https://www.sec.gov/Archives/edgar/data/1675149/000119312526077167/aa-20251231.htm</t>
        </is>
      </c>
      <c r="V269" s="0" t="inlineStr">
        <is>
          <t>[FY2025 10-K Item 1/2] Coordinates approximate (not from filing) - verify. S232 exposure as Baie-Comeau. [capacity detail: mt Al/yr]</t>
        </is>
      </c>
      <c r="AA269" s="0" t="inlineStr">
        <is>
          <t>Primary aluminum -&gt; transportation, construction, packaging, electrical; EV relevance: battery enclosures, busbars, body. [Commodity-level]</t>
        </is>
      </c>
    </row>
    <row r="270" ht="15.75" customHeight="1" s="74">
      <c r="A270" s="0" t="inlineStr">
        <is>
          <t>Alcoa Corporation</t>
        </is>
      </c>
      <c r="B270" s="0" t="inlineStr">
        <is>
          <t>US</t>
        </is>
      </c>
      <c r="C270" s="0" t="inlineStr">
        <is>
          <t>Fjardaal Smelter</t>
        </is>
      </c>
      <c r="D270" s="0" t="inlineStr">
        <is>
          <t>smelter</t>
        </is>
      </c>
      <c r="E270" s="0" t="inlineStr">
        <is>
          <t>IS</t>
        </is>
      </c>
      <c r="F270" s="0" t="inlineStr">
        <is>
          <t>East Iceland</t>
        </is>
      </c>
      <c r="G270" s="0" t="inlineStr">
        <is>
          <t>Reydarfjordur</t>
        </is>
      </c>
      <c r="H270" s="0" t="n">
        <v>65.03</v>
      </c>
      <c r="I270" s="0" t="n">
        <v>-14.05</v>
      </c>
      <c r="J270" s="0" t="inlineStr">
        <is>
          <t>operating</t>
        </is>
      </c>
      <c r="K270" s="0" t="inlineStr">
        <is>
          <t>Aluminum</t>
        </is>
      </c>
      <c r="L270" s="0" t="n">
        <v>351000</v>
      </c>
      <c r="M270" s="0" t="inlineStr">
        <is>
          <t>t/yr</t>
        </is>
      </c>
      <c r="P270" s="0" t="b">
        <v>1</v>
      </c>
      <c r="Q270" s="0" t="inlineStr">
        <is>
          <t>refined</t>
        </is>
      </c>
      <c r="R270" s="0" t="inlineStr">
        <is>
          <t>7601.10</t>
        </is>
      </c>
      <c r="S270" s="0" t="inlineStr">
        <is>
          <t>operator</t>
        </is>
      </c>
      <c r="T270" s="0" t="n">
        <v>1</v>
      </c>
      <c r="U270" s="0" t="inlineStr">
        <is>
          <t>https://www.sec.gov/Archives/edgar/data/1675149/000119312526077167/aa-20251231.htm</t>
        </is>
      </c>
      <c r="V270" s="0" t="inlineStr">
        <is>
          <t>[FY2025 10-K Item 1/2] Coordinates approximate (not from filing) - verify. Hydro-powered. [capacity detail: mt Al/yr]</t>
        </is>
      </c>
      <c r="AA270" s="0" t="inlineStr">
        <is>
          <t>Primary aluminum -&gt; transportation, construction, packaging, electrical; EV relevance: battery enclosures, busbars, body. [Commodity-level]</t>
        </is>
      </c>
    </row>
    <row r="271" ht="15.75" customHeight="1" s="74">
      <c r="A271" s="0" t="inlineStr">
        <is>
          <t>Alcoa Corporation</t>
        </is>
      </c>
      <c r="B271" s="0" t="inlineStr">
        <is>
          <t>US</t>
        </is>
      </c>
      <c r="C271" s="0" t="inlineStr">
        <is>
          <t>Lista Smelter</t>
        </is>
      </c>
      <c r="D271" s="0" t="inlineStr">
        <is>
          <t>smelter</t>
        </is>
      </c>
      <c r="E271" s="0" t="inlineStr">
        <is>
          <t>NO</t>
        </is>
      </c>
      <c r="F271" s="0" t="inlineStr">
        <is>
          <t>Agder</t>
        </is>
      </c>
      <c r="G271" s="0" t="inlineStr">
        <is>
          <t>Farsund</t>
        </is>
      </c>
      <c r="H271" s="0" t="n">
        <v>58.1</v>
      </c>
      <c r="I271" s="0" t="n">
        <v>6.6</v>
      </c>
      <c r="J271" s="0" t="inlineStr">
        <is>
          <t>operating</t>
        </is>
      </c>
      <c r="K271" s="0" t="inlineStr">
        <is>
          <t>Aluminum</t>
        </is>
      </c>
      <c r="L271" s="0" t="n">
        <v>95000</v>
      </c>
      <c r="M271" s="0" t="inlineStr">
        <is>
          <t>t/yr</t>
        </is>
      </c>
      <c r="P271" s="0" t="b">
        <v>1</v>
      </c>
      <c r="Q271" s="0" t="inlineStr">
        <is>
          <t>refined</t>
        </is>
      </c>
      <c r="R271" s="0" t="inlineStr">
        <is>
          <t>7601.10</t>
        </is>
      </c>
      <c r="S271" s="0" t="inlineStr">
        <is>
          <t>operator</t>
        </is>
      </c>
      <c r="T271" s="0" t="n">
        <v>1</v>
      </c>
      <c r="U271" s="0" t="inlineStr">
        <is>
          <t>https://www.sec.gov/Archives/edgar/data/1675149/000119312526077167/aa-20251231.htm</t>
        </is>
      </c>
      <c r="V271" s="0" t="inlineStr">
        <is>
          <t>[FY2025 10-K Item 1/2] Coordinates approximate (not from filing) - verify. One potline (31kt) restarted Q2 2025 (curtailed since Aug 2022); ~92% at YE2025; 8 kt idle. [capacity detail: mt Al/yr]</t>
        </is>
      </c>
      <c r="AA271" s="0" t="inlineStr">
        <is>
          <t>Primary aluminum -&gt; transportation, construction, packaging, electrical; EV relevance: battery enclosures, busbars, body. [Commodity-level]</t>
        </is>
      </c>
    </row>
    <row r="272" ht="15.75" customHeight="1" s="74">
      <c r="A272" s="0" t="inlineStr">
        <is>
          <t>Alcoa Corporation</t>
        </is>
      </c>
      <c r="B272" s="0" t="inlineStr">
        <is>
          <t>US</t>
        </is>
      </c>
      <c r="C272" s="0" t="inlineStr">
        <is>
          <t>Mosjoen Smelter</t>
        </is>
      </c>
      <c r="D272" s="0" t="inlineStr">
        <is>
          <t>smelter</t>
        </is>
      </c>
      <c r="E272" s="0" t="inlineStr">
        <is>
          <t>NO</t>
        </is>
      </c>
      <c r="F272" s="0" t="inlineStr">
        <is>
          <t>Nordland</t>
        </is>
      </c>
      <c r="G272" s="0" t="inlineStr">
        <is>
          <t>Mosjoen</t>
        </is>
      </c>
      <c r="H272" s="0" t="n">
        <v>65.84</v>
      </c>
      <c r="I272" s="0" t="n">
        <v>13.19</v>
      </c>
      <c r="J272" s="0" t="inlineStr">
        <is>
          <t>operating</t>
        </is>
      </c>
      <c r="K272" s="0" t="inlineStr">
        <is>
          <t>Aluminum</t>
        </is>
      </c>
      <c r="L272" s="0" t="n">
        <v>200000</v>
      </c>
      <c r="M272" s="0" t="inlineStr">
        <is>
          <t>t/yr</t>
        </is>
      </c>
      <c r="P272" s="0" t="b">
        <v>1</v>
      </c>
      <c r="Q272" s="0" t="inlineStr">
        <is>
          <t>refined</t>
        </is>
      </c>
      <c r="R272" s="0" t="inlineStr">
        <is>
          <t>7601.10</t>
        </is>
      </c>
      <c r="S272" s="0" t="inlineStr">
        <is>
          <t>operator</t>
        </is>
      </c>
      <c r="T272" s="0" t="n">
        <v>1</v>
      </c>
      <c r="U272" s="0" t="inlineStr">
        <is>
          <t>https://www.sec.gov/Archives/edgar/data/1675149/000119312526077167/aa-20251231.htm</t>
        </is>
      </c>
      <c r="V272" s="0" t="inlineStr">
        <is>
          <t>[FY2025 10-K Item 1/2] Coordinates approximate (not from filing) - verify.  [capacity detail: mt Al/yr]</t>
        </is>
      </c>
      <c r="AA272" s="0" t="inlineStr">
        <is>
          <t>Primary aluminum -&gt; transportation, construction, packaging, electrical; EV relevance: battery enclosures, busbars, body. [Commodity-level]</t>
        </is>
      </c>
    </row>
    <row r="273" ht="15.75" customHeight="1" s="74">
      <c r="A273" s="0" t="inlineStr">
        <is>
          <t>Alcoa Corporation</t>
        </is>
      </c>
      <c r="B273" s="0" t="inlineStr">
        <is>
          <t>US</t>
        </is>
      </c>
      <c r="C273" s="0" t="inlineStr">
        <is>
          <t>San Ciprian Smelter</t>
        </is>
      </c>
      <c r="D273" s="0" t="inlineStr">
        <is>
          <t>smelter</t>
        </is>
      </c>
      <c r="E273" s="0" t="inlineStr">
        <is>
          <t>ES</t>
        </is>
      </c>
      <c r="F273" s="0" t="inlineStr">
        <is>
          <t>Galicia</t>
        </is>
      </c>
      <c r="G273" s="0" t="inlineStr">
        <is>
          <t>San Cibrao</t>
        </is>
      </c>
      <c r="H273" s="0" t="n">
        <v>43.7</v>
      </c>
      <c r="I273" s="0" t="n">
        <v>-7.44</v>
      </c>
      <c r="J273" s="0" t="inlineStr">
        <is>
          <t>operating</t>
        </is>
      </c>
      <c r="K273" s="0" t="inlineStr">
        <is>
          <t>Aluminum</t>
        </is>
      </c>
      <c r="L273" s="0" t="n">
        <v>228000</v>
      </c>
      <c r="M273" s="0" t="inlineStr">
        <is>
          <t>t/yr</t>
        </is>
      </c>
      <c r="P273" s="0" t="b">
        <v>1</v>
      </c>
      <c r="Q273" s="0" t="inlineStr">
        <is>
          <t>refined</t>
        </is>
      </c>
      <c r="R273" s="0" t="inlineStr">
        <is>
          <t>7601.10</t>
        </is>
      </c>
      <c r="S273" s="0" t="inlineStr">
        <is>
          <t>jv_partner</t>
        </is>
      </c>
      <c r="T273" s="0" t="n">
        <v>0.75</v>
      </c>
      <c r="U273" s="0" t="inlineStr">
        <is>
          <t>https://www.sec.gov/Archives/edgar/data/1675149/000119312526077167/aa-20251231.htm</t>
        </is>
      </c>
      <c r="V273" s="0" t="inlineStr">
        <is>
          <t>[FY2025 10-K Item 1/2] Coordinates approximate (not from filing) - verify. Restart: ~6% since Mar 2024 -&gt; JV 3/31/25 -&gt; PAUSED Apr 2025 by Spain-wide power outage -&gt; resumed Jul 2025 -&gt; ~65% at YE2025; completion expected mid-2026. 81 kt idle at YE. [capacity detail: mt Al/yr]</t>
        </is>
      </c>
      <c r="AA273" s="0" t="inlineStr">
        <is>
          <t>Primary aluminum -&gt; transportation, construction, packaging, electrical; EV relevance: battery enclosures, busbars, body. [Commodity-level]</t>
        </is>
      </c>
    </row>
    <row r="274" ht="15.75" customHeight="1" s="74">
      <c r="A274" s="0" t="inlineStr">
        <is>
          <t>Alcoa Corporation</t>
        </is>
      </c>
      <c r="B274" s="0" t="inlineStr">
        <is>
          <t>US</t>
        </is>
      </c>
      <c r="C274" s="0" t="inlineStr">
        <is>
          <t>Massena West Smelter</t>
        </is>
      </c>
      <c r="D274" s="0" t="inlineStr">
        <is>
          <t>smelter</t>
        </is>
      </c>
      <c r="E274" s="0" t="inlineStr">
        <is>
          <t>US</t>
        </is>
      </c>
      <c r="F274" s="0" t="inlineStr">
        <is>
          <t>NY</t>
        </is>
      </c>
      <c r="G274" s="0" t="inlineStr">
        <is>
          <t>Massena</t>
        </is>
      </c>
      <c r="H274" s="0" t="n">
        <v>44.93</v>
      </c>
      <c r="I274" s="0" t="n">
        <v>-74.89</v>
      </c>
      <c r="J274" s="0" t="inlineStr">
        <is>
          <t>operating</t>
        </is>
      </c>
      <c r="K274" s="0" t="inlineStr">
        <is>
          <t>Aluminum</t>
        </is>
      </c>
      <c r="L274" s="0" t="n">
        <v>130000</v>
      </c>
      <c r="M274" s="0" t="inlineStr">
        <is>
          <t>t/yr</t>
        </is>
      </c>
      <c r="P274" s="0" t="b">
        <v>1</v>
      </c>
      <c r="Q274" s="0" t="inlineStr">
        <is>
          <t>refined</t>
        </is>
      </c>
      <c r="R274" s="0" t="inlineStr">
        <is>
          <t>7601.10</t>
        </is>
      </c>
      <c r="S274" s="0" t="inlineStr">
        <is>
          <t>operator</t>
        </is>
      </c>
      <c r="T274" s="0" t="n">
        <v>1</v>
      </c>
      <c r="U274" s="0" t="inlineStr">
        <is>
          <t>https://www.sec.gov/Archives/edgar/data/1675149/000119312526077167/aa-20251231.htm</t>
        </is>
      </c>
      <c r="V274" s="0" t="inlineStr">
        <is>
          <t>[FY2025 10-K Item 1/2] Coordinates approximate (not from filing) - verify. NYPA renewable power; new 10-yr contract Oct 2025 effective Apr 2026 (+2x 5-yr extensions). [capacity detail: mt Al/yr]</t>
        </is>
      </c>
      <c r="AA274" s="0" t="inlineStr">
        <is>
          <t>Primary aluminum -&gt; transportation, construction, packaging, electrical; EV relevance: battery enclosures, busbars, body. [Commodity-level]</t>
        </is>
      </c>
    </row>
    <row r="275" ht="15.75" customHeight="1" s="74">
      <c r="A275" s="0" t="inlineStr">
        <is>
          <t>Alcoa Corporation</t>
        </is>
      </c>
      <c r="B275" s="0" t="inlineStr">
        <is>
          <t>US</t>
        </is>
      </c>
      <c r="C275" s="0" t="inlineStr">
        <is>
          <t>Warrick Smelter + Power Plant</t>
        </is>
      </c>
      <c r="D275" s="0" t="inlineStr">
        <is>
          <t>smelter</t>
        </is>
      </c>
      <c r="E275" s="0" t="inlineStr">
        <is>
          <t>US</t>
        </is>
      </c>
      <c r="F275" s="0" t="inlineStr">
        <is>
          <t>IN</t>
        </is>
      </c>
      <c r="G275" s="0" t="inlineStr">
        <is>
          <t>Evansville</t>
        </is>
      </c>
      <c r="H275" s="0" t="n">
        <v>37.92</v>
      </c>
      <c r="I275" s="0" t="n">
        <v>-87.25</v>
      </c>
      <c r="J275" s="0" t="inlineStr">
        <is>
          <t>operating</t>
        </is>
      </c>
      <c r="K275" s="0" t="inlineStr">
        <is>
          <t>Aluminum</t>
        </is>
      </c>
      <c r="L275" s="0" t="n">
        <v>215000</v>
      </c>
      <c r="M275" s="0" t="inlineStr">
        <is>
          <t>t/yr</t>
        </is>
      </c>
      <c r="P275" s="0" t="b">
        <v>1</v>
      </c>
      <c r="Q275" s="0" t="inlineStr">
        <is>
          <t>refined</t>
        </is>
      </c>
      <c r="R275" s="0" t="inlineStr">
        <is>
          <t>7601.10</t>
        </is>
      </c>
      <c r="S275" s="0" t="inlineStr">
        <is>
          <t>operator</t>
        </is>
      </c>
      <c r="T275" s="0" t="n">
        <v>1</v>
      </c>
      <c r="U275" s="0" t="inlineStr">
        <is>
          <t>https://www.sec.gov/Archives/edgar/data/1675149/000119312526077167/aa-20251231.htm</t>
        </is>
      </c>
      <c r="V275" s="0" t="inlineStr">
        <is>
          <t>[FY2025 10-K Item 1/2] Coordinates approximate (not from filing) - verify. 54 kt idle. Co-located 821 MW coal power plant; Jun 2025 acquired remaining interest in 4th unit (+164 MW); ~43% of generation sold to market. [capacity detail: mt Al/yr]</t>
        </is>
      </c>
      <c r="AA275" s="0" t="inlineStr">
        <is>
          <t>Primary aluminum -&gt; transportation, construction, packaging, electrical; EV relevance: battery enclosures, busbars, body. [Commodity-level]</t>
        </is>
      </c>
    </row>
    <row r="276" ht="15.75" customHeight="1" s="74">
      <c r="A276" s="0" t="inlineStr">
        <is>
          <t>Alcoa Corporation</t>
        </is>
      </c>
      <c r="B276" s="0" t="inlineStr">
        <is>
          <t>US</t>
        </is>
      </c>
      <c r="C276" s="0" t="inlineStr">
        <is>
          <t>Pocos de Caldas Casthouse</t>
        </is>
      </c>
      <c r="D276" s="0" t="inlineStr">
        <is>
          <t>processing</t>
        </is>
      </c>
      <c r="E276" s="0" t="inlineStr">
        <is>
          <t>BR</t>
        </is>
      </c>
      <c r="F276" s="0" t="inlineStr">
        <is>
          <t>Minas Gerais</t>
        </is>
      </c>
      <c r="G276" s="0" t="inlineStr">
        <is>
          <t>Pocos de Caldas</t>
        </is>
      </c>
      <c r="H276" s="0" t="n">
        <v>-21.8</v>
      </c>
      <c r="I276" s="0" t="n">
        <v>-46.6</v>
      </c>
      <c r="J276" s="0" t="inlineStr">
        <is>
          <t>operating</t>
        </is>
      </c>
      <c r="K276" s="0" t="inlineStr">
        <is>
          <t>Aluminum</t>
        </is>
      </c>
      <c r="P276" s="0" t="b">
        <v>1</v>
      </c>
      <c r="Q276" s="0" t="inlineStr">
        <is>
          <t>fabricated</t>
        </is>
      </c>
      <c r="R276" s="0" t="inlineStr">
        <is>
          <t>7601.20</t>
        </is>
      </c>
      <c r="S276" s="0" t="inlineStr">
        <is>
          <t>operator</t>
        </is>
      </c>
      <c r="T276" s="0" t="n">
        <v>1</v>
      </c>
      <c r="U276" s="0" t="inlineStr">
        <is>
          <t>https://www.sec.gov/Archives/edgar/data/1675149/000119312526077167/aa-20251231.htm</t>
        </is>
      </c>
      <c r="V276" s="0" t="inlineStr">
        <is>
          <t xml:space="preserve">[FY2025 10-K Item 1/2] Coordinates approximate (not from filing) - verify. </t>
        </is>
      </c>
      <c r="AA276" s="0" t="inlineStr">
        <is>
          <t>Cast aluminum products (no smelter on site).</t>
        </is>
      </c>
    </row>
    <row r="277" ht="15.75" customHeight="1" s="74">
      <c r="A277" s="0" t="inlineStr">
        <is>
          <t>Nutrien Ltd.</t>
        </is>
      </c>
      <c r="B277" s="0" t="inlineStr">
        <is>
          <t>CA</t>
        </is>
      </c>
      <c r="C277" s="0" t="inlineStr">
        <is>
          <t>Aurora Phosphate Complex</t>
        </is>
      </c>
      <c r="D277" s="0" t="inlineStr">
        <is>
          <t>integrated</t>
        </is>
      </c>
      <c r="E277" s="0" t="inlineStr">
        <is>
          <t>US</t>
        </is>
      </c>
      <c r="F277" s="0" t="inlineStr">
        <is>
          <t>NC</t>
        </is>
      </c>
      <c r="G277" s="0" t="inlineStr">
        <is>
          <t>Aurora</t>
        </is>
      </c>
      <c r="H277" s="0" t="n">
        <v>35.3</v>
      </c>
      <c r="I277" s="0" t="n">
        <v>-76.79000000000001</v>
      </c>
      <c r="J277" s="0" t="inlineStr">
        <is>
          <t>operating</t>
        </is>
      </c>
      <c r="K277" s="0" t="inlineStr">
        <is>
          <t>Phosphate</t>
        </is>
      </c>
      <c r="L277" s="0" t="n">
        <v>5400000</v>
      </c>
      <c r="M277" s="0" t="inlineStr">
        <is>
          <t>t/yr</t>
        </is>
      </c>
      <c r="N277" s="0" t="n">
        <v>4660000</v>
      </c>
      <c r="O277" s="0" t="inlineStr">
        <is>
          <t>mt rock/yr (FY2025; P2O5 1.00 Mt, purified acid produced here)</t>
        </is>
      </c>
      <c r="P277" s="0" t="b">
        <v>1</v>
      </c>
      <c r="Q277" s="0" t="inlineStr">
        <is>
          <t>refined</t>
        </is>
      </c>
      <c r="R277" s="0" t="inlineStr">
        <is>
          <t>2809.20</t>
        </is>
      </c>
      <c r="S277" s="0" t="inlineStr">
        <is>
          <t>operator</t>
        </is>
      </c>
      <c r="T277" s="0" t="n">
        <v>1</v>
      </c>
      <c r="U277" s="0" t="inlineStr">
        <is>
          <t>https://www.sec.gov/Archives/edgar/data/1725964/000119312526081326/d56746dex991.htm</t>
        </is>
      </c>
      <c r="V277" s="0" t="inlineStr">
        <is>
          <t>[FY2025 40-F AIF/MD&amp;A] Coordinates approximate (not from filing) - verify. Integrated surface mine + chem plant: MAP, MGA, SPA/LOMAG/POLY + PURIFIED PHOSPHORIC ACID (N.America-largest). P2O5 capacity 1.2 Mt (produced 1.00); liquid 2.7 Mt cap; solid 0.9 Mt cap. UNDER STRATEGIC REVIEW since Q3 2025 (reconfigure/partner/sell). Stage=refined reflects on-site acid production from own ore; rock itself = ore stage. [Note 27]: under US EPA RCRA phosphate enforcement initiative (NOVs); possible phosphogypsum-stack financial assurance + capital projects; Geismar precedent consent decree 2022. [capacity detail: mt phosphate rock/yr]</t>
        </is>
      </c>
      <c r="X277" s="0" t="inlineStr">
        <is>
          <t>open_pit</t>
        </is>
      </c>
      <c r="AA277" s="0" t="inlineStr">
        <is>
          <t>MAP/liquid fertilizers (agriculture), animal feed acids, PURIFIED PHOSPHORIC ACID (food/technical/industrial; LFP-battery-adjacent). [Segment-level]</t>
        </is>
      </c>
    </row>
    <row r="278" ht="15.75" customHeight="1" s="74">
      <c r="A278" s="0" t="inlineStr">
        <is>
          <t>Nutrien Ltd.</t>
        </is>
      </c>
      <c r="B278" s="0" t="inlineStr">
        <is>
          <t>CA</t>
        </is>
      </c>
      <c r="C278" s="0" t="inlineStr">
        <is>
          <t>White Springs Phosphate Complex</t>
        </is>
      </c>
      <c r="D278" s="0" t="inlineStr">
        <is>
          <t>integrated</t>
        </is>
      </c>
      <c r="E278" s="0" t="inlineStr">
        <is>
          <t>US</t>
        </is>
      </c>
      <c r="F278" s="0" t="inlineStr">
        <is>
          <t>FL</t>
        </is>
      </c>
      <c r="G278" s="0" t="inlineStr">
        <is>
          <t>White Springs</t>
        </is>
      </c>
      <c r="H278" s="0" t="n">
        <v>30.33</v>
      </c>
      <c r="I278" s="0" t="n">
        <v>-82.76000000000001</v>
      </c>
      <c r="J278" s="0" t="inlineStr">
        <is>
          <t>operating</t>
        </is>
      </c>
      <c r="K278" s="0" t="inlineStr">
        <is>
          <t>Phosphate</t>
        </is>
      </c>
      <c r="L278" s="0" t="n">
        <v>2000000</v>
      </c>
      <c r="M278" s="0" t="inlineStr">
        <is>
          <t>t/yr</t>
        </is>
      </c>
      <c r="N278" s="0" t="n">
        <v>1390000</v>
      </c>
      <c r="O278" s="0" t="inlineStr">
        <is>
          <t>mt rock/yr (FY2025; P2O5 0.36 Mt)</t>
        </is>
      </c>
      <c r="P278" s="0" t="b">
        <v>1</v>
      </c>
      <c r="Q278" s="0" t="inlineStr">
        <is>
          <t>refined</t>
        </is>
      </c>
      <c r="R278" s="0" t="inlineStr">
        <is>
          <t>2809.20</t>
        </is>
      </c>
      <c r="S278" s="0" t="inlineStr">
        <is>
          <t>operator</t>
        </is>
      </c>
      <c r="T278" s="0" t="n">
        <v>1</v>
      </c>
      <c r="U278" s="0" t="inlineStr">
        <is>
          <t>https://www.sec.gov/Archives/edgar/data/1725964/000119312526081326/d56746dex991.htm</t>
        </is>
      </c>
      <c r="V278" s="0" t="inlineStr">
        <is>
          <t>[FY2025 40-F AIF/MD&amp;A] Coordinates approximate (not from filing) - verify. Integrated surface mine + chem plant: MAP/MAP+MST, MGA (all internal), SPA 0.7 Mt cap. UNDER STRATEGIC REVIEW since Q3 2025. Sulfur purchased 3rd party; ammonia from Augusta GA nitrogen plant. [Note 27]: under US EPA RCRA phosphate enforcement initiative (NOVs); possible phosphogypsum-stack financial assurance + capital projects; Geismar precedent consent decree 2022. [capacity detail: mt phosphate rock/yr]</t>
        </is>
      </c>
      <c r="X278" s="0" t="inlineStr">
        <is>
          <t>open_pit</t>
        </is>
      </c>
      <c r="AA278" s="0" t="inlineStr">
        <is>
          <t>MAP/liquid fertilizers (agriculture), animal feed acids, PURIFIED PHOSPHORIC ACID (food/technical/industrial; LFP-battery-adjacent). [Segment-level]</t>
        </is>
      </c>
    </row>
    <row r="279" ht="15.75" customHeight="1" s="74">
      <c r="A279" s="0" t="inlineStr">
        <is>
          <t>South32 Ltd</t>
        </is>
      </c>
      <c r="B279" s="0" t="inlineStr">
        <is>
          <t>AU</t>
        </is>
      </c>
      <c r="C279" s="0" t="inlineStr">
        <is>
          <t>GEMCO Manganese Mine (Groote Eylandt)</t>
        </is>
      </c>
      <c r="D279" s="0" t="inlineStr">
        <is>
          <t>integrated</t>
        </is>
      </c>
      <c r="E279" s="0" t="inlineStr">
        <is>
          <t>AU</t>
        </is>
      </c>
      <c r="F279" s="0" t="inlineStr">
        <is>
          <t>NT</t>
        </is>
      </c>
      <c r="G279" s="0" t="inlineStr">
        <is>
          <t>Groote Eylandt</t>
        </is>
      </c>
      <c r="H279" s="0" t="n">
        <v>-13.97</v>
      </c>
      <c r="I279" s="0" t="n">
        <v>136.46</v>
      </c>
      <c r="J279" s="0" t="inlineStr">
        <is>
          <t>operating</t>
        </is>
      </c>
      <c r="K279" s="0" t="inlineStr">
        <is>
          <t>Manganese</t>
        </is>
      </c>
      <c r="N279" s="0" t="n">
        <v>1106000</v>
      </c>
      <c r="O279" s="0" t="inlineStr">
        <is>
          <t>wmt saleable Mn ore/yr (FY-Jun-2025, cyclone-recovery year; normalized ~3,200 kwmt FY26-27 guidance)</t>
        </is>
      </c>
      <c r="P279" s="0" t="b">
        <v>1</v>
      </c>
      <c r="Q279" s="0" t="inlineStr">
        <is>
          <t>concentrate</t>
        </is>
      </c>
      <c r="R279" s="0" t="inlineStr">
        <is>
          <t>2602.00</t>
        </is>
      </c>
      <c r="S279" s="0" t="inlineStr">
        <is>
          <t>jv_partner</t>
        </is>
      </c>
      <c r="T279" s="0" t="n">
        <v>0.6</v>
      </c>
      <c r="U279" s="0" t="inlineStr">
        <is>
          <t>https://www.south32.net/docs/default-source/annual-reporting-suite/2025/annual-report-2025.pdf</t>
        </is>
      </c>
      <c r="V279" s="0" t="inlineStr">
        <is>
          <t>[S32 AR FY-Jun-2025] Coordinates approximate - verify. Production figures are FY-Jun-2025, 100% basis unless noted. World-largest Mn mine. S32 60% / Anglo American 40% (equity-accounted). Cyclone Megan (Mar 2024) destroyed wharf/infrastructure: exports suspended ~14 months, resumed May 2025; primary concentrator restarted Jun Q 2025; recovery plan complete; FY25 EBITDA -$105M + $133M idle/remediation. Exceeded recovery guidance by 11%.</t>
        </is>
      </c>
      <c r="X279" s="0" t="inlineStr">
        <is>
          <t>open_pit</t>
        </is>
      </c>
      <c r="AA279" s="0" t="inlineStr">
        <is>
          <t>Mn ore -&gt; Mn alloys for steelmaking (dominant); high-purity/battery-grade Mn sulfate is separate chain. [Commodity-level]</t>
        </is>
      </c>
    </row>
    <row r="280" ht="15.75" customHeight="1" s="74">
      <c r="A280" s="0" t="inlineStr">
        <is>
          <t>South32 Ltd</t>
        </is>
      </c>
      <c r="B280" s="0" t="inlineStr">
        <is>
          <t>AU</t>
        </is>
      </c>
      <c r="C280" s="0" t="inlineStr">
        <is>
          <t>Hotazel Manganese Mines (Wessels + Mamatwan)</t>
        </is>
      </c>
      <c r="D280" s="0" t="inlineStr">
        <is>
          <t>mine</t>
        </is>
      </c>
      <c r="E280" s="0" t="inlineStr">
        <is>
          <t>ZA</t>
        </is>
      </c>
      <c r="F280" s="0" t="inlineStr">
        <is>
          <t>Northern Cape</t>
        </is>
      </c>
      <c r="G280" s="0" t="inlineStr">
        <is>
          <t>Hotazel</t>
        </is>
      </c>
      <c r="H280" s="0" t="n">
        <v>-27.2</v>
      </c>
      <c r="I280" s="0" t="n">
        <v>22.97</v>
      </c>
      <c r="J280" s="0" t="inlineStr">
        <is>
          <t>operating</t>
        </is>
      </c>
      <c r="K280" s="0" t="inlineStr">
        <is>
          <t>Manganese</t>
        </is>
      </c>
      <c r="N280" s="0" t="n">
        <v>2151000</v>
      </c>
      <c r="O280" s="0" t="inlineStr">
        <is>
          <t>wmt saleable Mn ore/yr (FY-Jun-2025)</t>
        </is>
      </c>
      <c r="P280" s="0" t="b">
        <v>1</v>
      </c>
      <c r="Q280" s="0" t="inlineStr">
        <is>
          <t>ore</t>
        </is>
      </c>
      <c r="R280" s="0" t="inlineStr">
        <is>
          <t>2602.00</t>
        </is>
      </c>
      <c r="S280" s="0" t="inlineStr">
        <is>
          <t>jv_partner</t>
        </is>
      </c>
      <c r="T280" s="0" t="n">
        <v>0.44</v>
      </c>
      <c r="U280" s="0" t="inlineStr">
        <is>
          <t>https://www.south32.net/docs/default-source/annual-reporting-suite/2025/annual-report-2025.pdf</t>
        </is>
      </c>
      <c r="V280" s="0" t="inlineStr">
        <is>
          <t>[S32 AR FY-Jun-2025] Coordinates approximate - verify. Production figures are FY-Jun-2025, 100% basis unless noted. Wessels underground + Mamatwan open pit; Kalahari Mn field (world-largest land-based Mn resource). Effective interest ~44.4% via Samancor JV w/ Anglo + BEE - VERIFY exact %. FY26-27 guidance 2,000 kwmt (uses higher-cost trucking vs rail). EBITDA $46M FY25. Metalloys alloy smelter (C&amp;M since FY20) divested 2025-06-03.</t>
        </is>
      </c>
      <c r="X280" s="0" t="inlineStr">
        <is>
          <t>mixed</t>
        </is>
      </c>
      <c r="AA280" s="0" t="inlineStr">
        <is>
          <t>Mn ore -&gt; Mn alloys for steelmaking (dominant); high-purity/battery-grade Mn sulfate is separate chain. [Commodity-level]</t>
        </is>
      </c>
    </row>
    <row r="281" ht="15.75" customHeight="1" s="74">
      <c r="A281" s="0" t="inlineStr">
        <is>
          <t>South32 Ltd</t>
        </is>
      </c>
      <c r="B281" s="0" t="inlineStr">
        <is>
          <t>AU</t>
        </is>
      </c>
      <c r="C281" s="0" t="inlineStr">
        <is>
          <t>Worsley Alumina (Boddington Mine + Refinery)</t>
        </is>
      </c>
      <c r="D281" s="0" t="inlineStr">
        <is>
          <t>integrated</t>
        </is>
      </c>
      <c r="E281" s="0" t="inlineStr">
        <is>
          <t>AU</t>
        </is>
      </c>
      <c r="F281" s="0" t="inlineStr">
        <is>
          <t>WA</t>
        </is>
      </c>
      <c r="G281" s="0" t="inlineStr">
        <is>
          <t>Collie</t>
        </is>
      </c>
      <c r="H281" s="0" t="n">
        <v>-33.34</v>
      </c>
      <c r="I281" s="0" t="n">
        <v>116.05</v>
      </c>
      <c r="J281" s="0" t="inlineStr">
        <is>
          <t>operating</t>
        </is>
      </c>
      <c r="K281" s="0" t="inlineStr">
        <is>
          <t>Aluminum</t>
        </is>
      </c>
      <c r="N281" s="0" t="n">
        <v>3727000</v>
      </c>
      <c r="O281" s="0" t="inlineStr">
        <is>
          <t>t alumina/yr (FY-Jun-2025, S32 share basis; 99% of guidance)</t>
        </is>
      </c>
      <c r="P281" s="0" t="b">
        <v>1</v>
      </c>
      <c r="Q281" s="0" t="inlineStr">
        <is>
          <t>intermediate</t>
        </is>
      </c>
      <c r="R281" s="0" t="inlineStr">
        <is>
          <t>2818.20</t>
        </is>
      </c>
      <c r="S281" s="0" t="inlineStr">
        <is>
          <t>jv_partner</t>
        </is>
      </c>
      <c r="T281" s="0" t="n">
        <v>0.86</v>
      </c>
      <c r="U281" s="0" t="inlineStr">
        <is>
          <t>https://www.south32.net/docs/default-source/annual-reporting-suite/2025/annual-report-2025.pdf</t>
        </is>
      </c>
      <c r="V281" s="0" t="inlineStr">
        <is>
          <t>[S32 AR FY-Jun-2025] Coordinates approximate - verify. Production figures are FY-Jun-2025, 100% basis unless noted. S32 86%. Worsley Mine Development Project received primary environmental approvals (had constrained bauxite in FY25); sustains production to at least FY36. JORC reserves in AR pp.233-256 (not extracted). [Production backfilled from June-2025 Quarterly Report (https://www.south32.net/docs/default-source/all-financial-results/quarterly-report-june-2025.pdf) 2026-07-08 - AR narrative gave % changes only.]</t>
        </is>
      </c>
      <c r="AA281" s="0" t="inlineStr">
        <is>
          <t>Alumina -&gt; smelter feed. [Commodity-level]</t>
        </is>
      </c>
    </row>
    <row r="282" ht="15.75" customHeight="1" s="74">
      <c r="A282" s="0" t="inlineStr">
        <is>
          <t>South32 Ltd</t>
        </is>
      </c>
      <c r="B282" s="0" t="inlineStr">
        <is>
          <t>AU</t>
        </is>
      </c>
      <c r="C282" s="0" t="inlineStr">
        <is>
          <t>Hillside Aluminium Smelter</t>
        </is>
      </c>
      <c r="D282" s="0" t="inlineStr">
        <is>
          <t>smelter</t>
        </is>
      </c>
      <c r="E282" s="0" t="inlineStr">
        <is>
          <t>ZA</t>
        </is>
      </c>
      <c r="F282" s="0" t="inlineStr">
        <is>
          <t>KwaZulu-Natal</t>
        </is>
      </c>
      <c r="G282" s="0" t="inlineStr">
        <is>
          <t>Richards Bay</t>
        </is>
      </c>
      <c r="H282" s="0" t="n">
        <v>-28.78</v>
      </c>
      <c r="I282" s="0" t="n">
        <v>32.04</v>
      </c>
      <c r="J282" s="0" t="inlineStr">
        <is>
          <t>operating</t>
        </is>
      </c>
      <c r="K282" s="0" t="inlineStr">
        <is>
          <t>Aluminum</t>
        </is>
      </c>
      <c r="L282" s="0" t="n">
        <v>720000</v>
      </c>
      <c r="M282" s="0" t="inlineStr">
        <is>
          <t>t/yr</t>
        </is>
      </c>
      <c r="N282" s="0" t="n">
        <v>718000</v>
      </c>
      <c r="O282" s="0" t="inlineStr">
        <is>
          <t>t Al/yr (FY-Jun-2025; 100% of 720kt max technical capacity)</t>
        </is>
      </c>
      <c r="P282" s="0" t="b">
        <v>1</v>
      </c>
      <c r="Q282" s="0" t="inlineStr">
        <is>
          <t>refined</t>
        </is>
      </c>
      <c r="R282" s="0" t="inlineStr">
        <is>
          <t>7601.10</t>
        </is>
      </c>
      <c r="U282" s="0" t="inlineStr">
        <is>
          <t>https://www.south32.net/docs/default-source/annual-reporting-suite/2025/annual-report-2025.pdf</t>
        </is>
      </c>
      <c r="V282" s="0" t="inlineStr">
        <is>
          <t>[S32 AR FY-Jun-2025] Coordinates approximate - verify. Production figures are FY-Jun-2025, 100% basis unless noted. Africa-largest Al smelter; Eskom-supplied (load-shedding risk noted; guidance assumes none). Testing max technical capacity. [Production backfilled from June-2025 Quarterly Report (https://www.south32.net/docs/default-source/all-financial-results/quarterly-report-june-2025.pdf) 2026-07-08 - AR narrative gave % changes only.] [capacity detail: mt Al/yr (FY26-27 guidance = max technical capacity)]</t>
        </is>
      </c>
      <c r="AA282" s="0" t="inlineStr">
        <is>
          <t>Primary aluminum. [Commodity-level]</t>
        </is>
      </c>
    </row>
    <row r="283" ht="15.75" customHeight="1" s="74">
      <c r="A283" s="0" t="inlineStr">
        <is>
          <t>South32 Ltd</t>
        </is>
      </c>
      <c r="B283" s="0" t="inlineStr">
        <is>
          <t>AU</t>
        </is>
      </c>
      <c r="C283" s="0" t="inlineStr">
        <is>
          <t>Mozal Aluminium Smelter</t>
        </is>
      </c>
      <c r="D283" s="0" t="inlineStr">
        <is>
          <t>smelter</t>
        </is>
      </c>
      <c r="E283" s="0" t="inlineStr">
        <is>
          <t>MZ</t>
        </is>
      </c>
      <c r="F283" s="0" t="inlineStr">
        <is>
          <t>Maputo</t>
        </is>
      </c>
      <c r="G283" s="0" t="inlineStr">
        <is>
          <t>Beluluane</t>
        </is>
      </c>
      <c r="H283" s="0" t="n">
        <v>-25.95</v>
      </c>
      <c r="I283" s="0" t="n">
        <v>32.45</v>
      </c>
      <c r="J283" s="0" t="inlineStr">
        <is>
          <t>operating</t>
        </is>
      </c>
      <c r="K283" s="0" t="inlineStr">
        <is>
          <t>Aluminum</t>
        </is>
      </c>
      <c r="N283" s="0" t="n">
        <v>355000</v>
      </c>
      <c r="O283" s="0" t="inlineStr">
        <is>
          <t>t Al/yr (FY-Jun-2025, S32 63.7% share basis; +13% recovery year)</t>
        </is>
      </c>
      <c r="P283" s="0" t="b">
        <v>1</v>
      </c>
      <c r="Q283" s="0" t="inlineStr">
        <is>
          <t>refined</t>
        </is>
      </c>
      <c r="R283" s="0" t="inlineStr">
        <is>
          <t>7601.10</t>
        </is>
      </c>
      <c r="S283" s="0" t="inlineStr">
        <is>
          <t>jv_partner</t>
        </is>
      </c>
      <c r="T283" s="0" t="n">
        <v>0.637</v>
      </c>
      <c r="U283" s="0" t="inlineStr">
        <is>
          <t>https://www.south32.net/docs/default-source/annual-reporting-suite/2025/annual-report-2025.pdf</t>
        </is>
      </c>
      <c r="V283" s="0" t="inlineStr">
        <is>
          <t>[S32 AR FY-Jun-2025] Coordinates approximate - verify. Production figures are FY-Jun-2025, 100% basis unless noted. EXPECTED CARE &amp; MAINTENANCE MARCH 2026: power agreement (HCB/Eskom) expires Mar 2026; negotiations "do not provide confidence"; investment limited per 2025-08-14 market release; $372M impairment FY25. Completed recovery from Mozambique civil unrest (2024-25 election violence). ownership_pct ~63.4% - VERIFY (47.1% direct + IDC? public figure, not from this extract). [ownership 63.7% VERIFIED from AR consolidated entity disclosure statement 2026-07-08 - VERIFY flag cleared.] [Production backfilled from June-2025 Quarterly Report (https://www.south32.net/docs/default-source/all-financial-results/quarterly-report-june-2025.pdf) 2026-07-08 - AR narrative gave % changes only.]</t>
        </is>
      </c>
      <c r="AA283" s="0" t="inlineStr">
        <is>
          <t>Primary aluminum. [Commodity-level]</t>
        </is>
      </c>
    </row>
    <row r="284" ht="15.75" customHeight="1" s="74">
      <c r="A284" s="0" t="inlineStr">
        <is>
          <t>South32 Ltd</t>
        </is>
      </c>
      <c r="B284" s="0" t="inlineStr">
        <is>
          <t>AU</t>
        </is>
      </c>
      <c r="C284" s="0" t="inlineStr">
        <is>
          <t>Cannington Zn-Pb-Ag Mine</t>
        </is>
      </c>
      <c r="D284" s="0" t="inlineStr">
        <is>
          <t>mine</t>
        </is>
      </c>
      <c r="E284" s="0" t="inlineStr">
        <is>
          <t>AU</t>
        </is>
      </c>
      <c r="F284" s="0" t="inlineStr">
        <is>
          <t>QLD</t>
        </is>
      </c>
      <c r="G284" s="0" t="inlineStr">
        <is>
          <t>McKinlay</t>
        </is>
      </c>
      <c r="H284" s="0" t="n">
        <v>-21.87</v>
      </c>
      <c r="I284" s="0" t="n">
        <v>140.91</v>
      </c>
      <c r="J284" s="0" t="inlineStr">
        <is>
          <t>operating</t>
        </is>
      </c>
      <c r="K284" s="0" t="inlineStr">
        <is>
          <t>Zinc</t>
        </is>
      </c>
      <c r="N284" s="0" t="n">
        <v>241900</v>
      </c>
      <c r="O284" s="0" t="inlineStr">
        <is>
          <t>t payable ZnEq/yr (FY-Jun-2025: Zn 44.5kt + Pb 92.4kt + Ag 10.29Moz)</t>
        </is>
      </c>
      <c r="P284" s="0" t="b">
        <v>1</v>
      </c>
      <c r="Q284" s="0" t="inlineStr">
        <is>
          <t>concentrate</t>
        </is>
      </c>
      <c r="R284" s="0" t="inlineStr">
        <is>
          <t>2608.00</t>
        </is>
      </c>
      <c r="U284" s="0" t="inlineStr">
        <is>
          <t>https://www.south32.net/docs/default-source/annual-reporting-suite/2025/annual-report-2025.pdf</t>
        </is>
      </c>
      <c r="V284" s="0" t="inlineStr">
        <is>
          <t>[S32 AR FY-Jun-2025] Coordinates approximate - verify. Production figures are FY-Jun-2025, 100% basis unless noted. Mine plan REVISED: ~1.8 Mtpa FY26-31 (down), 6-yr reserve life (10Mt UG reserve); open-pit study to capture 25Mt resource on silver strength. material_canonical uses existing multi-material label minus Mn - actually Zn-Pb-Ag; Mn not produced here (label constraint) - REVIEW. [Production backfilled from June-2025 Quarterly Report (https://www.south32.net/docs/default-source/all-financial-results/quarterly-report-june-2025.pdf) 2026-07-08 - AR narrative gave % changes only.] [MATERIAL LABEL FIX 2026-07-10: was composite 'Zinc, lead, manganese' - loader needs single canonical; polymetallic detail retained in product_end_use/notes.]</t>
        </is>
      </c>
      <c r="X284" s="0" t="inlineStr">
        <is>
          <t>underground</t>
        </is>
      </c>
      <c r="AA284" s="0" t="inlineStr">
        <is>
          <t>Zn galvanizing; Pb batteries; Ag industrial/PV. [Commodity-level]</t>
        </is>
      </c>
    </row>
    <row r="285" ht="15.75" customHeight="1" s="74">
      <c r="A285" s="0" t="inlineStr">
        <is>
          <t>South32 Ltd</t>
        </is>
      </c>
      <c r="B285" s="0" t="inlineStr">
        <is>
          <t>AU</t>
        </is>
      </c>
      <c r="C285" s="0" t="inlineStr">
        <is>
          <t>Cerro Matoso Ferronickel Complex</t>
        </is>
      </c>
      <c r="D285" s="0" t="inlineStr">
        <is>
          <t>integrated</t>
        </is>
      </c>
      <c r="E285" s="0" t="inlineStr">
        <is>
          <t>CO</t>
        </is>
      </c>
      <c r="F285" s="0" t="inlineStr">
        <is>
          <t>Cordoba</t>
        </is>
      </c>
      <c r="G285" s="0" t="inlineStr">
        <is>
          <t>Montelibano</t>
        </is>
      </c>
      <c r="H285" s="0" t="n">
        <v>7.98</v>
      </c>
      <c r="I285" s="0" t="n">
        <v>-75.58</v>
      </c>
      <c r="J285" s="0" t="inlineStr">
        <is>
          <t>operating</t>
        </is>
      </c>
      <c r="K285" s="0" t="inlineStr">
        <is>
          <t>Nickel</t>
        </is>
      </c>
      <c r="N285" s="0" t="n">
        <v>37100</v>
      </c>
      <c r="O285" s="0" t="inlineStr">
        <is>
          <t>t payable Ni/yr (FY-Jun-2025, -9%)</t>
        </is>
      </c>
      <c r="P285" s="0" t="b">
        <v>1</v>
      </c>
      <c r="Q285" s="0" t="inlineStr">
        <is>
          <t>refined</t>
        </is>
      </c>
      <c r="R285" s="0" t="inlineStr">
        <is>
          <t>7202.60</t>
        </is>
      </c>
      <c r="T285" s="0" t="n">
        <v>0</v>
      </c>
      <c r="U285" s="0" t="inlineStr">
        <is>
          <t>https://www.south32.net/docs/default-source/annual-reporting-suite/2025/annual-report-2025.pdf</t>
        </is>
      </c>
      <c r="V285" s="0" t="inlineStr">
        <is>
          <t>[S32 AR FY-Jun-2025] Coordinates approximate - verify. Production figures are FY-Jun-2025, 100% basis unless noted. Divestment agreed 2025-07-07 (buyer per market release; close late H1 FY26) - status=divested reflects agreed sale; still operating under S32 until close. -$118M impairment FY25. Colombia tax contingencies among the $318M group contingent liabilities. [Completion pass: sale = nominal upfront + up to $100M contingent; EBITDA $84M FY25.] [DIVESTED HANDLING 2026-07-10: status was 'divested' (not a loader enum) -&gt; operating w/ ownership_pct=0, zero attribution; facility presumably operating under new owner.]</t>
        </is>
      </c>
      <c r="X285" s="0" t="inlineStr">
        <is>
          <t>open_pit</t>
        </is>
      </c>
      <c r="AA285" s="0" t="inlineStr">
        <is>
          <t>Ferronickel -&gt; stainless steel (class 2; NOT battery-grade). [Commodity-level]</t>
        </is>
      </c>
    </row>
    <row r="286" ht="15.75" customHeight="1" s="74">
      <c r="A286" s="0" t="inlineStr">
        <is>
          <t>South32 Ltd</t>
        </is>
      </c>
      <c r="B286" s="0" t="inlineStr">
        <is>
          <t>AU</t>
        </is>
      </c>
      <c r="C286" s="0" t="inlineStr">
        <is>
          <t>Hermosa Project (Taylor Zn-Pb-Ag + Clark Battery-Grade Mn)</t>
        </is>
      </c>
      <c r="D286" s="0" t="inlineStr">
        <is>
          <t>exploration_project</t>
        </is>
      </c>
      <c r="E286" s="0" t="inlineStr">
        <is>
          <t>US</t>
        </is>
      </c>
      <c r="F286" s="0" t="inlineStr">
        <is>
          <t>AZ</t>
        </is>
      </c>
      <c r="G286" s="0" t="inlineStr">
        <is>
          <t>Patagonia</t>
        </is>
      </c>
      <c r="H286" s="0" t="n">
        <v>31.47</v>
      </c>
      <c r="I286" s="0" t="n">
        <v>-110.72</v>
      </c>
      <c r="J286" s="0" t="inlineStr">
        <is>
          <t>under_construction</t>
        </is>
      </c>
      <c r="K286" s="0" t="inlineStr">
        <is>
          <t>Manganese</t>
        </is>
      </c>
      <c r="N286" s="0" t="n">
        <v>0</v>
      </c>
      <c r="P286" s="0" t="b">
        <v>0</v>
      </c>
      <c r="Q286" s="0" t="inlineStr">
        <is>
          <t>ore</t>
        </is>
      </c>
      <c r="R286" s="0" t="inlineStr">
        <is>
          <t>2602.00</t>
        </is>
      </c>
      <c r="U286" s="0" t="inlineStr">
        <is>
          <t>https://www.south32.net/docs/default-source/annual-reporting-suite/2025/annual-report-2025.pdf</t>
        </is>
      </c>
      <c r="V286" s="0" t="inlineStr">
        <is>
          <t>[S32 AR FY-Jun-2025] Coordinates approximate - verify. Production figures are FY-Jun-2025, 100% basis unless noted. $517M invested FY25 ($750M planned FY26): Taylor shafts + process plant construction started Q4 FY25; CLARK exploration decline in progress - one of very few potential US battery-grade Mn sources. Taylor is primary (Zn-Pb-Ag); row keyed to Mn for launch-material tracking - is_primary_product=False.</t>
        </is>
      </c>
      <c r="X286" s="0" t="inlineStr">
        <is>
          <t>underground</t>
        </is>
      </c>
      <c r="AA286" s="0" t="inlineStr">
        <is>
          <t>Clark: battery-grade manganese (HPMSM path) for US battery chain; Taylor: Zn-Pb-Ag concentrates. [Project]</t>
        </is>
      </c>
    </row>
    <row r="287" ht="15.75" customHeight="1" s="74">
      <c r="A287" s="0" t="inlineStr">
        <is>
          <t>South32 Ltd</t>
        </is>
      </c>
      <c r="B287" s="0" t="inlineStr">
        <is>
          <t>AU</t>
        </is>
      </c>
      <c r="C287" s="0" t="inlineStr">
        <is>
          <t>Sierra Gorda Copper Mine (45%)</t>
        </is>
      </c>
      <c r="D287" s="0" t="inlineStr">
        <is>
          <t>mine</t>
        </is>
      </c>
      <c r="E287" s="0" t="inlineStr">
        <is>
          <t>CL</t>
        </is>
      </c>
      <c r="F287" s="0" t="inlineStr">
        <is>
          <t>Antofagasta</t>
        </is>
      </c>
      <c r="G287" s="0" t="inlineStr">
        <is>
          <t>Sierra Gorda</t>
        </is>
      </c>
      <c r="H287" s="0" t="n">
        <v>-22.89</v>
      </c>
      <c r="I287" s="0" t="n">
        <v>-69.31999999999999</v>
      </c>
      <c r="J287" s="0" t="inlineStr">
        <is>
          <t>operating</t>
        </is>
      </c>
      <c r="K287" s="0" t="inlineStr">
        <is>
          <t>Copper</t>
        </is>
      </c>
      <c r="N287" s="0" t="n">
        <v>71400</v>
      </c>
      <c r="O287" s="0" t="inlineStr">
        <is>
          <t>t payable Cu/yr (FY-Jun-2025, S32 45% share; CuEq 88.1kt incl. Mo/Au/Ag)</t>
        </is>
      </c>
      <c r="P287" s="0" t="b">
        <v>1</v>
      </c>
      <c r="Q287" s="0" t="inlineStr">
        <is>
          <t>concentrate</t>
        </is>
      </c>
      <c r="R287" s="0" t="inlineStr">
        <is>
          <t>2603.00</t>
        </is>
      </c>
      <c r="S287" s="0" t="inlineStr">
        <is>
          <t>minority_stake</t>
        </is>
      </c>
      <c r="T287" s="0" t="n">
        <v>0.45</v>
      </c>
      <c r="U287" s="0" t="inlineStr">
        <is>
          <t>https://www.south32.net/docs/default-source/annual-reporting-suite/2025/annual-report-2025.pdf</t>
        </is>
      </c>
      <c r="V287" s="0" t="inlineStr">
        <is>
          <t>[S32 AR FY-Jun-2025] Coordinates approximate - verify. Production figures are FY-Jun-2025, 100% basis unless noted. KGHM operates (55%). Higher grades + improved Mo recoveries FY25. [Production backfilled from June-2025 Quarterly Report (https://www.south32.net/docs/default-source/all-financial-results/quarterly-report-june-2025.pdf) 2026-07-08 - AR narrative gave % changes only.]</t>
        </is>
      </c>
      <c r="X287" s="0" t="inlineStr">
        <is>
          <t>open_pit</t>
        </is>
      </c>
      <c r="AA287" s="0" t="inlineStr">
        <is>
          <t>Cu concentrate + Mo by-product. [Commodity-level]</t>
        </is>
      </c>
    </row>
    <row r="288" ht="15.75" customHeight="1" s="74">
      <c r="A288" s="0" t="inlineStr">
        <is>
          <t>Syrah Resources Ltd</t>
        </is>
      </c>
      <c r="B288" s="0" t="inlineStr">
        <is>
          <t>AU</t>
        </is>
      </c>
      <c r="C288" s="0" t="inlineStr">
        <is>
          <t>Vidalia Further Expansion (AAM Phase 3)</t>
        </is>
      </c>
      <c r="D288" s="0" t="inlineStr">
        <is>
          <t>processing</t>
        </is>
      </c>
      <c r="E288" s="0" t="inlineStr">
        <is>
          <t>US</t>
        </is>
      </c>
      <c r="F288" s="0" t="inlineStr">
        <is>
          <t>LA</t>
        </is>
      </c>
      <c r="G288" s="0" t="inlineStr">
        <is>
          <t>Vidalia</t>
        </is>
      </c>
      <c r="H288" s="0" t="n">
        <v>31.57</v>
      </c>
      <c r="I288" s="0" t="n">
        <v>-91.43000000000001</v>
      </c>
      <c r="J288" s="0" t="inlineStr">
        <is>
          <t>planned</t>
        </is>
      </c>
      <c r="K288" s="0" t="inlineStr">
        <is>
          <t>Natural Graphite</t>
        </is>
      </c>
      <c r="L288" s="0" t="n">
        <v>45000</v>
      </c>
      <c r="M288" s="0" t="inlineStr">
        <is>
          <t>t/yr</t>
        </is>
      </c>
      <c r="N288" s="0" t="n">
        <v>0</v>
      </c>
      <c r="P288" s="0" t="b">
        <v>1</v>
      </c>
      <c r="Q288" s="0" t="inlineStr">
        <is>
          <t>battery_grade</t>
        </is>
      </c>
      <c r="R288" s="0" t="inlineStr">
        <is>
          <t>3801.10</t>
        </is>
      </c>
      <c r="S288" s="0" t="inlineStr">
        <is>
          <t>operator</t>
        </is>
      </c>
      <c r="T288" s="0" t="n">
        <v>1</v>
      </c>
      <c r="U288" s="0" t="inlineStr">
        <is>
          <t>https://www.datocms-assets.com/65260/1774572803-syr_2025_annual_report.pdf</t>
        </is>
      </c>
      <c r="V288" s="0" t="inlineStr">
        <is>
          <t>[AR 2025, added 2026-07-08 per Nicole - track pre-FID expansions as rows] Expansion of Vidalia to 45ktpa AAM (4x current 11.25ktpa), PRE-FID: FID gated on achieving commercial AAM sales from existing plant (impairment note); ~$165M Section 48C ITC awarded; transition engineering/permitting/long-lead procurement progressing; offtake + funding options in development. Same site as row 58. US ITC final negative AD/CVD (Mar 2026) is the key headwind to FID economics. [capacity detail: t AAM/yr (design, pre-FID)]</t>
        </is>
      </c>
      <c r="AA288" s="0" t="inlineStr">
        <is>
          <t>Natural-graphite active anode material -&gt; US Li-ion cell makers. [AR 2025]</t>
        </is>
      </c>
    </row>
    <row r="289" ht="15.75" customHeight="1" s="74">
      <c r="A289" s="0" t="inlineStr">
        <is>
          <t>Syrah Resources Ltd</t>
        </is>
      </c>
      <c r="B289" s="0" t="inlineStr">
        <is>
          <t>AU</t>
        </is>
      </c>
      <c r="C289" s="0" t="inlineStr">
        <is>
          <t>Balama Vanadium Project</t>
        </is>
      </c>
      <c r="D289" s="0" t="inlineStr">
        <is>
          <t>exploration_project</t>
        </is>
      </c>
      <c r="E289" s="0" t="inlineStr">
        <is>
          <t>MZ</t>
        </is>
      </c>
      <c r="F289" s="0" t="inlineStr">
        <is>
          <t>Cabo Delgado</t>
        </is>
      </c>
      <c r="G289" s="0" t="inlineStr">
        <is>
          <t>Balama</t>
        </is>
      </c>
      <c r="H289" s="0" t="n">
        <v>-13.35</v>
      </c>
      <c r="I289" s="0" t="n">
        <v>38.65</v>
      </c>
      <c r="J289" s="0" t="inlineStr">
        <is>
          <t>planned</t>
        </is>
      </c>
      <c r="K289" s="0" t="inlineStr">
        <is>
          <t>Vanadium</t>
        </is>
      </c>
      <c r="N289" s="0" t="n">
        <v>0</v>
      </c>
      <c r="P289" s="0" t="b">
        <v>0</v>
      </c>
      <c r="Q289" s="0" t="inlineStr">
        <is>
          <t>ore</t>
        </is>
      </c>
      <c r="R289" s="0" t="inlineStr">
        <is>
          <t>2615.90</t>
        </is>
      </c>
      <c r="S289" s="0" t="inlineStr">
        <is>
          <t>operator</t>
        </is>
      </c>
      <c r="T289" s="0" t="n">
        <v>1</v>
      </c>
      <c r="U289" s="0" t="inlineStr">
        <is>
          <t>https://www.datocms-assets.com/65260/1774572803-syr_2025_annual_report.pdf</t>
        </is>
      </c>
      <c r="V289" s="0" t="inlineStr">
        <is>
          <t>[AR 2025, added 2026-07-08] Vanadium recovery from Balama graphite processing circuit - concentrations confirmed 2019 + 2023; FY25 work: bulk mineralogy, beneficiation/hydro/pyro met test work, PFS engineering studies. Resource under review - no JORC vanadium resource stated. Future growth option; co-located with row 57. material_canonical reuses existing "Vanadium, titanium" label - actual product vanadium only, REVIEW. [MATERIAL LABEL FIX 2026-07-10: was composite 'Vanadium, titanium' - loader needs single canonical; polymetallic detail retained in product_end_use/notes.]</t>
        </is>
      </c>
      <c r="AA289" s="0" t="inlineStr">
        <is>
          <t>Vanadium (from Balama graphite circuit): steel alloys + vanadium redox flow batteries (ESS). [Commodity-level]</t>
        </is>
      </c>
    </row>
    <row r="290" ht="15.75" customHeight="1" s="74">
      <c r="A290" s="0" t="inlineStr">
        <is>
          <t>Glencore plc</t>
        </is>
      </c>
      <c r="B290" s="0" t="inlineStr">
        <is>
          <t>CH</t>
        </is>
      </c>
      <c r="C290" s="0" t="inlineStr">
        <is>
          <t>Katanga (KCC) Copper-Cobalt Complex</t>
        </is>
      </c>
      <c r="D290" s="0" t="inlineStr">
        <is>
          <t>integrated</t>
        </is>
      </c>
      <c r="E290" s="0" t="inlineStr">
        <is>
          <t>CD</t>
        </is>
      </c>
      <c r="F290" s="0" t="inlineStr">
        <is>
          <t>Lualaba</t>
        </is>
      </c>
      <c r="G290" s="0" t="inlineStr">
        <is>
          <t>Kolwezi</t>
        </is>
      </c>
      <c r="H290" s="0" t="n">
        <v>-10.72</v>
      </c>
      <c r="I290" s="0" t="n">
        <v>25.42</v>
      </c>
      <c r="J290" s="0" t="inlineStr">
        <is>
          <t>operating</t>
        </is>
      </c>
      <c r="K290" s="0" t="inlineStr">
        <is>
          <t>Cobalt</t>
        </is>
      </c>
      <c r="M290" s="0" t="n"/>
      <c r="N290" s="0" t="n">
        <v>27000</v>
      </c>
      <c r="O290" s="0" t="inlineStr">
        <is>
          <t>t/yr</t>
        </is>
      </c>
      <c r="P290" s="0" t="b">
        <v>1</v>
      </c>
      <c r="Q290" s="0" t="inlineStr">
        <is>
          <t>intermediate</t>
        </is>
      </c>
      <c r="R290" s="0" t="inlineStr">
        <is>
          <t>8105.20</t>
        </is>
      </c>
      <c r="S290" s="0" t="inlineStr">
        <is>
          <t>jv_partner</t>
        </is>
      </c>
      <c r="T290" s="0" t="n">
        <v>0.7</v>
      </c>
      <c r="U290" s="0" t="inlineStr">
        <is>
          <t>https://www.glencore.com/.rest/api/v1/documents/static/a8114247-02e8-4bd8-bc04-81f411ba631c/GLEN_2025-FY-Production-Report.pdf</t>
        </is>
      </c>
      <c r="V290" s="0" t="inlineStr">
        <is>
          <t>V45 FIX: capacity not cleanly published (pending verification); production basis = t contained Co/yr FY2024 Glencore per-asset report (FY2025 combined-only: African Copper KCC+Mutanda 33.5kt). || UNITS NORMALIZED 2026-07-16: FY2024 used for production because Glencore switched to combined African Copper reporting in FY2025 (no per-asset split). || [FY2025 Production Report + AR 2025] Coordinates approximate - verify. African Copper (KCC+Mutanda COMBINED): Cu 247.8kt (+10%) / Co 33.5kt (-5%) FY25 - per-mine split NOT disclosed, production left blank to avoid fabrication. ZERO Q4-25 cobalt exports; quota 22.8kt (2026 incl. carryover); excess stored in-country; cobalt held in solution unprocessed. ownership ~75% (Gecamines minority) - VERIFY, not from these docs. [Per-mine quota split (FY25 report table): KCC allocation 16.1kt of Glencore 22.8kt total (second column 13.3 - basis of columns to VERIFY). H2-25 Cu uplift +62.3kt half-on-half on grades.] [WATCH: 40% stake sale MoU to US-backed Orion consortium, 3-Feb-2026, non-binding - event 209.] [R&amp;R 2025 (as at 31-Dec-25, pub 29-Jan-26) 2026-07-09] RESERVES (JORC): 137Mt @ 3.83% Cu / 0.42% Co (OC 111Mt@4.44%Cu/0.39%Co + UG 4.2Mt + stockpiles 21.7Mt); net +7Mt yoy; mine life 18 yrs (closure ~2043 =2025+18, derived). M&amp;I resources 271Mt @ 3.83% Cu / 0.59% Co. OWNERSHIP: R&amp;R attributable interest = 70% (replaces prior ~75% assumption); leases valid to 2039, Glencore ownership reduces a further 5% upon renewal. RISKS: artisanal-mining depletion of Resource/Reserve under investigation, to be incorporated in future estimates; Reserve recovery partly dependent on land-usage package (waste dumps + tailings) still being concluded. 2025 depletion 8Mt. Cut-off ~1.8% CuEq oxide / 1.1% CuEq sulphide. LOADER RISK REVIEW: production_tpy is COPPER on a Cobalt-material row. QUOTA BASIS RESOLVED per R&amp;R p.9: KCC base allocation 13.3ktpy for 2026-27; prior 'second column' figure was the base annual quota, larger figure included Q4-25 unused-quota carryforward (usable to 31-Mar-26) - closes prior VERIFY. [LOADER RISK RESOLVED 2026-07-10: derived Cu production moved to a dedicated Copper-material co-product row; this Cobalt row no l</t>
        </is>
      </c>
      <c r="X290" s="0" t="inlineStr">
        <is>
          <t>open_pit</t>
        </is>
      </c>
      <c r="Z290" s="0" t="n">
        <v>2043</v>
      </c>
      <c r="AA290" s="0" t="inlineStr">
        <is>
          <t>Cobalt hydroxide -&gt; Li-ion cathodes via refiners; Cu cathode/conc -&gt; electrical. [Commodity-level]</t>
        </is>
      </c>
    </row>
    <row r="291" ht="15.75" customHeight="1" s="74">
      <c r="A291" s="0" t="inlineStr">
        <is>
          <t>Glencore plc</t>
        </is>
      </c>
      <c r="B291" s="0" t="inlineStr">
        <is>
          <t>CH</t>
        </is>
      </c>
      <c r="C291" s="0" t="inlineStr">
        <is>
          <t>Mutanda Copper-Cobalt Mine</t>
        </is>
      </c>
      <c r="D291" s="0" t="inlineStr">
        <is>
          <t>mine</t>
        </is>
      </c>
      <c r="E291" s="0" t="inlineStr">
        <is>
          <t>CD</t>
        </is>
      </c>
      <c r="F291" s="0" t="inlineStr">
        <is>
          <t>Lualaba</t>
        </is>
      </c>
      <c r="G291" s="0" t="inlineStr">
        <is>
          <t>Kolwezi</t>
        </is>
      </c>
      <c r="H291" s="0" t="n">
        <v>-10.79</v>
      </c>
      <c r="I291" s="0" t="n">
        <v>25.79</v>
      </c>
      <c r="J291" s="0" t="inlineStr">
        <is>
          <t>operating</t>
        </is>
      </c>
      <c r="K291" s="0" t="inlineStr">
        <is>
          <t>Cobalt</t>
        </is>
      </c>
      <c r="M291" s="0" t="n"/>
      <c r="N291" s="0" t="n">
        <v>8000</v>
      </c>
      <c r="O291" s="0" t="inlineStr">
        <is>
          <t>t/yr</t>
        </is>
      </c>
      <c r="P291" s="0" t="b">
        <v>1</v>
      </c>
      <c r="Q291" s="0" t="inlineStr">
        <is>
          <t>intermediate</t>
        </is>
      </c>
      <c r="R291" s="0" t="inlineStr">
        <is>
          <t>8105.20</t>
        </is>
      </c>
      <c r="S291" s="0" t="inlineStr">
        <is>
          <t>jv_partner</t>
        </is>
      </c>
      <c r="T291" s="0" t="n">
        <v>0.95</v>
      </c>
      <c r="U291" s="0" t="inlineStr">
        <is>
          <t>https://www.glencore.com/.rest/api/v1/documents/static/a8114247-02e8-4bd8-bc04-81f411ba631c/GLEN_2025-FY-Production-Report.pdf</t>
        </is>
      </c>
      <c r="V291" s="0" t="inlineStr">
        <is>
          <t>V45 FIX: capacity not published; production basis = t contained Co/yr FY2024 Glencore per-asset report (see KCC row for FY2025 combined reporting). || UNITS NORMALIZED 2026-07-16: FY2024 basis, same reporting-change caveat as KCC. || [FY2025 Production Report + AR 2025] Coordinates approximate - verify. See KCC row for combined African Copper production. Restarted 2022 after 2019-21 C&amp;M (historical). Same quota constraints. ownership ~95% - VERIFY. [Per-mine quota split: Mutanda allocation 6.7kt of 22.8kt total (second column 5.5 - basis VERIFY).] [Ownership 95.0% VERIFIED from AR note 35 subsidiaries table.] [WATCH: 40% stake sale MoU to US-backed Orion consortium, 3-Feb-2026, non-binding - event 209.] [R&amp;R 2025 (as at 31-Dec-25, pub 29-Jan-26) 2026-07-09] RESERVES (JORC): 107Mt @ 1.75% Cu / 0.64% Co (OC 88Mt@1.88%Cu/0.69%Co + stockpiles 18.8Mt); net -1Mt yoy; mine life 22 yrs (closure ~2047 =2025+22, derived). M&amp;I resources 310Mt @ 1.75% Cu / 0.61% Co (+39Mt yoy on Cu/Co price). Attributable interest 95% CONFIRMED by R&amp;R (matches AR note 35). Leases valid to 2037, ownership -5% on renewal. Sulphide treatment still at feasibility-study phase (current ops oxide tank leach SX-EW). 2025 depletion 1.8Mt. LOADER RISK REVIEW: production_tpy is COPPER on a Cobalt-material row. QUOTA BASIS RESOLVED per R&amp;R p.9: Mutanda base allocation 5.5ktpy for 2026-27; prior 'second column' figure was the base annual quota, larger figure included Q4-25 unused-quota carryforward (usable to 31-Mar-26) - closes prior VERIFY. [LOADER RISK RESOLVED 2026-07-10: derived Cu production moved to a dedicated Copper-material co-product row; this Cobalt row no longer carries Cu tonnage.]</t>
        </is>
      </c>
      <c r="X291" s="0" t="inlineStr">
        <is>
          <t>open_pit</t>
        </is>
      </c>
      <c r="Z291" s="0" t="n">
        <v>2047</v>
      </c>
      <c r="AA291" s="0" t="inlineStr">
        <is>
          <t>Cobalt hydroxide -&gt; Li-ion cathodes via refiners; Cu cathode/conc -&gt; electrical. [Commodity-level]</t>
        </is>
      </c>
    </row>
    <row r="292" ht="15.75" customHeight="1" s="74">
      <c r="A292" s="0" t="inlineStr">
        <is>
          <t>Glencore plc</t>
        </is>
      </c>
      <c r="B292" s="0" t="inlineStr">
        <is>
          <t>CH</t>
        </is>
      </c>
      <c r="C292" s="0" t="inlineStr">
        <is>
          <t>Murrin Murrin Nickel-Cobalt Operation</t>
        </is>
      </c>
      <c r="D292" s="0" t="inlineStr">
        <is>
          <t>integrated</t>
        </is>
      </c>
      <c r="E292" s="0" t="inlineStr">
        <is>
          <t>AU</t>
        </is>
      </c>
      <c r="F292" s="0" t="inlineStr">
        <is>
          <t>WA</t>
        </is>
      </c>
      <c r="G292" s="0" t="inlineStr">
        <is>
          <t>Leonora</t>
        </is>
      </c>
      <c r="H292" s="0" t="n">
        <v>-28.75</v>
      </c>
      <c r="I292" s="0" t="n">
        <v>121.89</v>
      </c>
      <c r="J292" s="0" t="inlineStr">
        <is>
          <t>operating</t>
        </is>
      </c>
      <c r="K292" s="0" t="inlineStr">
        <is>
          <t>Nickel</t>
        </is>
      </c>
      <c r="N292" s="0" t="n">
        <v>32100</v>
      </c>
      <c r="O292" s="0" t="inlineStr">
        <is>
          <t>t Ni metal/yr (FY2025, STATED per-asset in FY25 report quarterly table - replaces prior DERIVED flag; + Co metal 2.2kt stated; incl. 3rd-party feed Ni 34.5kt / Co 2.3kt)</t>
        </is>
      </c>
      <c r="P292" s="0" t="b">
        <v>1</v>
      </c>
      <c r="Q292" s="0" t="inlineStr">
        <is>
          <t>refined</t>
        </is>
      </c>
      <c r="R292" s="0" t="inlineStr">
        <is>
          <t>7502.10</t>
        </is>
      </c>
      <c r="S292" s="0" t="inlineStr">
        <is>
          <t>operator</t>
        </is>
      </c>
      <c r="T292" s="0" t="n">
        <v>1</v>
      </c>
      <c r="U292" s="0" t="inlineStr">
        <is>
          <t>https://www.glencore.com/.rest/api/v1/documents/static/a8114247-02e8-4bd8-bc04-81f411ba631c/GLEN_2025-FY-Production-Report.pdf</t>
        </is>
      </c>
      <c r="V292" s="0" t="inlineStr">
        <is>
          <t>[FY2025 Production Report + AR 2025] Coordinates approximate - verify. HPAL laterite; Ni+Co briquettes. Part of group Ni 71.9kt / Co 36.1kt FY25 (asset split not extracted). [Production DERIVED from dept-minus-INO - not a stated per-asset figure; VERIFY when per-asset table found.] [R&amp;R 2025 (as at 31-Dec-25, pub 29-Jan-26) 2026-07-09] RESERVES (JORC): 118Mt @ 1.00% Ni / 0.08% Co (~1.18Mt contained Ni, ~94kt contained Co; incl. 43Mt stockpiles @0.92% Ni); net -33.4Mt yoy on revised cost/macro assumptions + grade modifying factors; mine life 30 yrs (closure ~2055 =2025+30, derived). M&amp;I resources 194Mt @ 0.96% Ni. Attributable interest 100% (fills previously blank ownership). Cut-off 0.9% NiEq (1.1% Irwin Hills). 2025 depletion 5.4Mt. FY25 Ni -6% yoy on maintenance downtime.</t>
        </is>
      </c>
      <c r="X292" s="0" t="inlineStr">
        <is>
          <t>open_pit</t>
        </is>
      </c>
      <c r="Z292" s="0" t="n">
        <v>2055</v>
      </c>
      <c r="AA292" s="0" t="inlineStr">
        <is>
          <t>Class-1 Ni + cobalt -&gt; battery precursor + stainless. [Commodity-level]</t>
        </is>
      </c>
    </row>
    <row r="293" ht="15.75" customHeight="1" s="74">
      <c r="A293" s="0" t="inlineStr">
        <is>
          <t>Glencore plc</t>
        </is>
      </c>
      <c r="B293" s="0" t="inlineStr">
        <is>
          <t>CH</t>
        </is>
      </c>
      <c r="C293" s="0" t="inlineStr">
        <is>
          <t>Integrated Nickel Operations (Sudbury/Raglan/Nikkelverk)</t>
        </is>
      </c>
      <c r="D293" s="0" t="inlineStr">
        <is>
          <t>integrated</t>
        </is>
      </c>
      <c r="E293" s="0" t="inlineStr">
        <is>
          <t>CA</t>
        </is>
      </c>
      <c r="F293" s="0" t="inlineStr">
        <is>
          <t>ON/QC + NO</t>
        </is>
      </c>
      <c r="G293" s="0" t="inlineStr">
        <is>
          <t>Sudbury</t>
        </is>
      </c>
      <c r="H293" s="0" t="n">
        <v>46.49</v>
      </c>
      <c r="I293" s="0" t="n">
        <v>-81</v>
      </c>
      <c r="J293" s="0" t="inlineStr">
        <is>
          <t>operating</t>
        </is>
      </c>
      <c r="K293" s="0" t="inlineStr">
        <is>
          <t>Nickel</t>
        </is>
      </c>
      <c r="N293" s="0" t="n">
        <v>39800</v>
      </c>
      <c r="O293" s="0" t="inlineStr">
        <is>
          <t>t Ni metal/yr (FY2025, -7%; + Cu 9.4kt metal + 2.0kt conc, Co 0.4kt, PGMs)</t>
        </is>
      </c>
      <c r="P293" s="0" t="b">
        <v>1</v>
      </c>
      <c r="Q293" s="0" t="inlineStr">
        <is>
          <t>refined</t>
        </is>
      </c>
      <c r="R293" s="0" t="inlineStr">
        <is>
          <t>7502.10</t>
        </is>
      </c>
      <c r="U293" s="0" t="inlineStr">
        <is>
          <t>https://www.glencore.com/.rest/api/v1/documents/static/a8114247-02e8-4bd8-bc04-81f411ba631c/GLEN_2025-FY-Production-Report.pdf</t>
        </is>
      </c>
      <c r="V293" s="0" t="inlineStr">
        <is>
          <t>[FY2025 Production Report + AR 2025] Coordinates approximate - verify. INO: Sudbury + Raglan mines (CA) + Nikkelverk refinery (NO) grouped as one row - split into per-site rows when data allows. FY25 production lower yoy (part of 71.9kt group). [Production from FY25 report detailed table.] [R&amp;R 2025 (as at 31-Dec-25, pub 29-Jan-26) 2026-07-09] RESERVES (total INO): 31.0Mt @ 2.02% Ni / 0.78% Cu / 0.04% Co - Sudbury 16.8Mt @ 1.66% Ni (essentially all Onaping Depth, 19-yr life, pre-commissioning) + Raglan 14.2Mt @ 2.44% Ni (9-yr life). CRAIG MINE CLOSED Dec 2025 (Ore Reserve fully depleted; remaining resources downgraded). Fraser reserves also depleted to nil. M&amp;I resources 44.9Mt @ 2.65% Ni. Raglan 2025 depletion 1.5Mt. Nikkelverk total refined Ni incl. 3rd-party feed 101.5kt FY25 (vs 39.8kt own-source) - refinery throughput proxy; nameplate capacity not stated. Near-term own-source Ni hinges on Onaping Depth ramp-up as Craig/Fraser retire.</t>
        </is>
      </c>
      <c r="X293" s="0" t="inlineStr">
        <is>
          <t>underground</t>
        </is>
      </c>
      <c r="AA293" s="0" t="inlineStr">
        <is>
          <t>Class-1 refined Ni (Nikkelverk, Norway) -&gt; plating + battery. [Commodity-level]</t>
        </is>
      </c>
    </row>
    <row r="294" ht="15.75" customHeight="1" s="74">
      <c r="A294" s="0" t="inlineStr">
        <is>
          <t>Glencore plc</t>
        </is>
      </c>
      <c r="B294" s="0" t="inlineStr">
        <is>
          <t>CH</t>
        </is>
      </c>
      <c r="C294" s="0" t="inlineStr">
        <is>
          <t>Koniambo Nickel (KNS)</t>
        </is>
      </c>
      <c r="D294" s="0" t="inlineStr">
        <is>
          <t>smelter</t>
        </is>
      </c>
      <c r="E294" s="0" t="inlineStr">
        <is>
          <t>NC</t>
        </is>
      </c>
      <c r="F294" s="0" t="inlineStr">
        <is>
          <t>North Province</t>
        </is>
      </c>
      <c r="G294" s="0" t="inlineStr">
        <is>
          <t>Vavouto</t>
        </is>
      </c>
      <c r="H294" s="0" t="n">
        <v>-20.98</v>
      </c>
      <c r="I294" s="0" t="n">
        <v>164.66</v>
      </c>
      <c r="J294" s="0" t="inlineStr">
        <is>
          <t>care_maintenance</t>
        </is>
      </c>
      <c r="K294" s="0" t="inlineStr">
        <is>
          <t>Nickel</t>
        </is>
      </c>
      <c r="N294" s="0" t="n">
        <v>0</v>
      </c>
      <c r="P294" s="0" t="b">
        <v>1</v>
      </c>
      <c r="Q294" s="0" t="inlineStr">
        <is>
          <t>intermediate</t>
        </is>
      </c>
      <c r="R294" s="0" t="inlineStr">
        <is>
          <t>7501.10</t>
        </is>
      </c>
      <c r="S294" s="0" t="inlineStr">
        <is>
          <t>jv_partner</t>
        </is>
      </c>
      <c r="T294" s="0" t="n">
        <v>0.49</v>
      </c>
      <c r="U294" s="0" t="inlineStr">
        <is>
          <t>https://www.glencore.com/.rest/api/v1/documents/static/9b103e11-72e7-40bf-ae7c-eabe57361522/GLEN-2025-Annual-Report.pdf</t>
        </is>
      </c>
      <c r="V294" s="0" t="inlineStr">
        <is>
          <t>[FY2025 Production Report + AR 2025] Coordinates approximate - verify. C&amp;M since 2024 (Glencore announced exit/withdrawal of funding Feb 2024 - predates coverage; captured as facility state). New Caledonia unrest context. [R&amp;R 2025 (as at 31-Dec-25, pub 29-Jan-26) 2026-07-09] NO Ore Reserves declared (C&amp;M). Resources: 60Mt M&amp;I @ 2.11% Ni + 110Mt Inferred @ 2.10% Ni (unchanged 2025; cut-off 1.8% Ni). Attributable interest 49% CONFIRMED by R&amp;R.</t>
        </is>
      </c>
      <c r="X294" s="0" t="inlineStr">
        <is>
          <t>open_pit</t>
        </is>
      </c>
      <c r="AA294" s="0" t="inlineStr">
        <is>
          <t>Ferronickel (class 2). [Commodity-level]</t>
        </is>
      </c>
    </row>
    <row r="295" ht="15.75" customHeight="1" s="74">
      <c r="A295" s="0" t="inlineStr">
        <is>
          <t>Glencore plc</t>
        </is>
      </c>
      <c r="B295" s="0" t="inlineStr">
        <is>
          <t>CH</t>
        </is>
      </c>
      <c r="C295" s="0" t="inlineStr">
        <is>
          <t>Collahuasi Copper Mine (44%)</t>
        </is>
      </c>
      <c r="D295" s="0" t="inlineStr">
        <is>
          <t>mine</t>
        </is>
      </c>
      <c r="E295" s="0" t="inlineStr">
        <is>
          <t>CL</t>
        </is>
      </c>
      <c r="F295" s="0" t="inlineStr">
        <is>
          <t>Tarapaca</t>
        </is>
      </c>
      <c r="G295" s="0" t="inlineStr">
        <is>
          <t>Pica</t>
        </is>
      </c>
      <c r="H295" s="0" t="n">
        <v>-20.98</v>
      </c>
      <c r="I295" s="0" t="n">
        <v>-68.7</v>
      </c>
      <c r="J295" s="0" t="inlineStr">
        <is>
          <t>operating</t>
        </is>
      </c>
      <c r="K295" s="0" t="inlineStr">
        <is>
          <t>Copper</t>
        </is>
      </c>
      <c r="N295" s="0" t="n">
        <v>177700</v>
      </c>
      <c r="O295" s="0" t="inlineStr">
        <is>
          <t>t Cu in concentrate/yr (FY2025, Glencore 44% share, -28%)</t>
        </is>
      </c>
      <c r="P295" s="0" t="b">
        <v>1</v>
      </c>
      <c r="Q295" s="0" t="inlineStr">
        <is>
          <t>concentrate</t>
        </is>
      </c>
      <c r="R295" s="0" t="inlineStr">
        <is>
          <t>2603.00</t>
        </is>
      </c>
      <c r="S295" s="0" t="inlineStr">
        <is>
          <t>minority_stake</t>
        </is>
      </c>
      <c r="T295" s="0" t="n">
        <v>0.44</v>
      </c>
      <c r="U295" s="0" t="inlineStr">
        <is>
          <t>https://www.glencore.com/.rest/api/v1/documents/static/a8114247-02e8-4bd8-bc04-81f411ba631c/GLEN_2025-FY-Production-Report.pdf</t>
        </is>
      </c>
      <c r="V295" s="0" t="inlineStr">
        <is>
          <t>[FY2025 Production Report + AR 2025] Coordinates approximate - verify. -28% yoy on grades; Anglo/Glencore/Mitsui JV. [R&amp;R 2025 (as at 31-Dec-25, pub 29-Jan-26) 2026-07-09] RESERVES (JORC, 100% basis): 4,078Mt @ 0.79% Cu / 0.02% Mo (incl. 298Mt stockpiles @ 0.54%); net -82Mt yoy (depletion + stockpile adjustments); MINE LIFE 66 YRS - plan runs 2026-2091, longest-life asset in Glencore portfolio. M&amp;I resources 5,636Mt @ 0.78% Cu + Inferred 5,300Mt @ 0.71%. 2025 depletion 61Mt (implied plant+mine throughput). Cut-off 0.30% Cu. FY25 -28% production driven by sequencing/complex stockpile ore/water constraints; new desalination plant staged commissioning began Jul 2025 - constraint easing.</t>
        </is>
      </c>
      <c r="X295" s="0" t="inlineStr">
        <is>
          <t>open_pit</t>
        </is>
      </c>
      <c r="Z295" s="0" t="n">
        <v>2091</v>
      </c>
      <c r="AA295" s="0" t="inlineStr">
        <is>
          <t>Cu concentrate -&gt; smelting. [Commodity-level]</t>
        </is>
      </c>
    </row>
    <row r="296" ht="15.75" customHeight="1" s="74">
      <c r="A296" s="0" t="inlineStr">
        <is>
          <t>Glencore plc</t>
        </is>
      </c>
      <c r="B296" s="0" t="inlineStr">
        <is>
          <t>CH</t>
        </is>
      </c>
      <c r="C296" s="0" t="inlineStr">
        <is>
          <t>Antamina Mine (33.75%)</t>
        </is>
      </c>
      <c r="D296" s="0" t="inlineStr">
        <is>
          <t>mine</t>
        </is>
      </c>
      <c r="E296" s="0" t="inlineStr">
        <is>
          <t>PE</t>
        </is>
      </c>
      <c r="F296" s="0" t="inlineStr">
        <is>
          <t>Ancash</t>
        </is>
      </c>
      <c r="G296" s="0" t="inlineStr">
        <is>
          <t>San Marcos</t>
        </is>
      </c>
      <c r="H296" s="0" t="n">
        <v>-9.539999999999999</v>
      </c>
      <c r="I296" s="0" t="n">
        <v>-77.05</v>
      </c>
      <c r="J296" s="0" t="inlineStr">
        <is>
          <t>operating</t>
        </is>
      </c>
      <c r="K296" s="0" t="inlineStr">
        <is>
          <t>Copper</t>
        </is>
      </c>
      <c r="N296" s="0" t="n">
        <v>130100</v>
      </c>
      <c r="O296" s="0" t="inlineStr">
        <is>
          <t>t Cu in concentrate/yr (FY2025, 33.75% share; +Zn 152.6kt share, zinc-rich phase +66%)</t>
        </is>
      </c>
      <c r="P296" s="0" t="b">
        <v>1</v>
      </c>
      <c r="Q296" s="0" t="inlineStr">
        <is>
          <t>concentrate</t>
        </is>
      </c>
      <c r="R296" s="0" t="inlineStr">
        <is>
          <t>2603.00</t>
        </is>
      </c>
      <c r="S296" s="0" t="inlineStr">
        <is>
          <t>minority_stake</t>
        </is>
      </c>
      <c r="T296" s="0" t="n">
        <v>0.3375</v>
      </c>
      <c r="U296" s="0" t="inlineStr">
        <is>
          <t>https://www.glencore.com/.rest/api/v1/documents/static/a8114247-02e8-4bd8-bc04-81f411ba631c/GLEN_2025-FY-Production-Report.pdf</t>
        </is>
      </c>
      <c r="V296" s="0" t="inlineStr">
        <is>
          <t>[FY2025 Production Report + AR 2025] Coordinates approximate - verify. BHP/Glencore/Teck/Mitsubishi JV. Zinc-rich sequencing drove 2025 Zn; reverses 2026 (group Zn guide -25%). [R&amp;R 2025 (as at 31-Dec-25, pub 29-Jan-26) 2026-07-09] RESERVES (JORC, 100% basis): 528Mt @ 0.91% Cu / 0.59% Zn / 12 g/t Ag / 0.02% Mo; net -23Mt yoy; Zn reserve grade CUT 0.68%-&gt;0.59% on resource-model update. RESERVE PLAN ONLY 11 YRS (2026-2036) - capped by currently-approved tailings storage facility, NOT geology: additional 1,260Mt Inferred resources incl. 480Mt underground @ ~1.12% Cu behind it. Life extension = permitting question (tailings approval). R&amp;R attributable interest shown as 34% (seed keeps precise 33.75%; BHP 20-F concurs). 2025 depletion 44Mt. Cross-check: BHP share 178Mt @0.92% Cu = ~527Mt at 100% - CONSISTENT (row 145).</t>
        </is>
      </c>
      <c r="X296" s="0" t="inlineStr">
        <is>
          <t>open_pit</t>
        </is>
      </c>
      <c r="Z296" s="0" t="n">
        <v>2036</v>
      </c>
      <c r="AA296" s="0" t="inlineStr">
        <is>
          <t>Cu + Zn concentrates. [Commodity-level]</t>
        </is>
      </c>
    </row>
    <row r="297" ht="15.75" customHeight="1" s="74">
      <c r="A297" s="0" t="inlineStr">
        <is>
          <t>Glencore plc</t>
        </is>
      </c>
      <c r="B297" s="0" t="inlineStr">
        <is>
          <t>CH</t>
        </is>
      </c>
      <c r="C297" s="0" t="inlineStr">
        <is>
          <t>Mount Isa Mines Complex</t>
        </is>
      </c>
      <c r="D297" s="0" t="inlineStr">
        <is>
          <t>integrated</t>
        </is>
      </c>
      <c r="E297" s="0" t="inlineStr">
        <is>
          <t>AU</t>
        </is>
      </c>
      <c r="F297" s="0" t="inlineStr">
        <is>
          <t>QLD</t>
        </is>
      </c>
      <c r="G297" s="0" t="inlineStr">
        <is>
          <t>Mount Isa</t>
        </is>
      </c>
      <c r="H297" s="0" t="n">
        <v>-20.73</v>
      </c>
      <c r="I297" s="0" t="n">
        <v>139.49</v>
      </c>
      <c r="J297" s="0" t="inlineStr">
        <is>
          <t>operating</t>
        </is>
      </c>
      <c r="K297" s="0" t="inlineStr">
        <is>
          <t>Zinc</t>
        </is>
      </c>
      <c r="N297" s="0" t="n">
        <v>288200</v>
      </c>
      <c r="O297" s="0" t="inlineStr">
        <is>
          <t>t Zn in concentrate/yr (FY2025; INCL. Lady Loretta ~110kt which reached END OF LIFE Dec-2025 -&gt; go-forward Zn run-rate ~178kt; + own Cu 54.1kt (MICO closed Jul-25) + Pb in conc 90.7kt; Mount Isa+Townsville Cu metal incl. 3rd-party feed 206.8kt)</t>
        </is>
      </c>
      <c r="P297" s="0" t="b">
        <v>1</v>
      </c>
      <c r="Q297" s="0" t="inlineStr">
        <is>
          <t>concentrate</t>
        </is>
      </c>
      <c r="R297" s="0" t="inlineStr">
        <is>
          <t>2608.00</t>
        </is>
      </c>
      <c r="S297" s="0" t="inlineStr">
        <is>
          <t>operator</t>
        </is>
      </c>
      <c r="T297" s="0" t="n">
        <v>1</v>
      </c>
      <c r="U297" s="0" t="inlineStr">
        <is>
          <t>https://www.glencore.com/.rest/api/v1/documents/static/a8114247-02e8-4bd8-bc04-81f411ba631c/GLEN_2025-FY-Production-Report.pdf</t>
        </is>
      </c>
      <c r="V297" s="0" t="inlineStr">
        <is>
          <t>[GLEN FY25 Production Report] Coordinates approximate - verify. Zinc department complex. MICO COPPER MINE CLOSED MID-2025 (-13.3kt Cu yoy; event 208). Zinc-lead mining continues; Cu smelter status track separately. Actual products Zn/Pb/Ag - materials label constraint, REVIEW. [R&amp;R 2025 (as at 31-Dec-25, pub 29-Jan-26) 2026-07-09] RESERVES: George Fisher (P49+L72) 56.5Mt @ 6.62% Zn / 3.55% Pb / 66 g/t Ag, 19-yr life (~2044). Zn/Pb Underground = resource-only (45.7Mt @ 5.39% Zn Indicated). LADY LORETTA reserves DEPLETED 31-Dec-2025 (mine closure; contributed ~110kt Zn in 2025). MICO Cu reserves DEPLETED 2025 -&gt; operations closed Jun/Jul 2025 (confirms event 208); future Cu smelting/refining on 3rd-party feed. BLACK STAR OPEN CUT reserves declared FIRST TIME after 2025 PFS - tracked as separate row (new). 2025 GF depletion 3.7Mt. [MATERIAL LABEL FIX 2026-07-10: was composite 'Zinc, lead, manganese' - loader needs single canonical; polymetallic detail retained in product_end_use/notes.]</t>
        </is>
      </c>
      <c r="X297" s="0" t="inlineStr">
        <is>
          <t>underground</t>
        </is>
      </c>
      <c r="AA297" s="0" t="inlineStr">
        <is>
          <t>Zn/Pb concentrates + Pb smelting; Cu smelter (custom). [Commodity-level]</t>
        </is>
      </c>
    </row>
    <row r="298" ht="15.75" customHeight="1" s="74">
      <c r="A298" s="0" t="inlineStr">
        <is>
          <t>Glencore plc</t>
        </is>
      </c>
      <c r="B298" s="0" t="inlineStr">
        <is>
          <t>CH</t>
        </is>
      </c>
      <c r="C298" s="0" t="inlineStr">
        <is>
          <t>McArthur River Zinc Mine</t>
        </is>
      </c>
      <c r="D298" s="0" t="inlineStr">
        <is>
          <t>mine</t>
        </is>
      </c>
      <c r="E298" s="0" t="inlineStr">
        <is>
          <t>AU</t>
        </is>
      </c>
      <c r="F298" s="0" t="inlineStr">
        <is>
          <t>NT</t>
        </is>
      </c>
      <c r="G298" s="0" t="inlineStr">
        <is>
          <t>Borroloola</t>
        </is>
      </c>
      <c r="H298" s="0" t="n">
        <v>-16.44</v>
      </c>
      <c r="I298" s="0" t="n">
        <v>136.09</v>
      </c>
      <c r="J298" s="0" t="inlineStr">
        <is>
          <t>operating</t>
        </is>
      </c>
      <c r="K298" s="0" t="inlineStr">
        <is>
          <t>Zinc</t>
        </is>
      </c>
      <c r="N298" s="0" t="n">
        <v>274600</v>
      </c>
      <c r="O298" s="0" t="inlineStr">
        <is>
          <t>t Zn in concentrate/yr (FY2025, +6% yoy, cyclone in base period; + Pb in conc 52.3kt; per-asset STATED in quarterly table - closes prior backfill item)</t>
        </is>
      </c>
      <c r="P298" s="0" t="b">
        <v>1</v>
      </c>
      <c r="Q298" s="0" t="inlineStr">
        <is>
          <t>concentrate</t>
        </is>
      </c>
      <c r="R298" s="0" t="inlineStr">
        <is>
          <t>2608.00</t>
        </is>
      </c>
      <c r="S298" s="0" t="inlineStr">
        <is>
          <t>operator</t>
        </is>
      </c>
      <c r="T298" s="0" t="n">
        <v>1</v>
      </c>
      <c r="U298" s="0" t="inlineStr">
        <is>
          <t>https://www.glencore.com/.rest/api/v1/documents/static/a8114247-02e8-4bd8-bc04-81f411ba631c/GLEN_2025-FY-Production-Report.pdf</t>
        </is>
      </c>
      <c r="V298" s="0" t="inlineStr">
        <is>
          <t>[GLEN FY25 Production Report] Coordinates approximate - verify. FY25 production +14.9kt Zn yoy (per-asset absolute not extracted - in detailed tables, backfill). One of world-largest Zn resources. [R&amp;R 2025 (as at 31-Dec-25, pub 29-Jan-26) 2026-07-09] RESERVES (JORC): 71Mt @ 8.85% Zn / 4.15% Pb / 42 g/t Ag (incl. 3.5Mt low-grade end-of-life material @2.1% ZnEq cut-off); net +1Mt yoy. Open-cut mining planned complete 2039, processing complete 2040 (stated). M&amp;I resources 125Mt @ 9.39% Zn + Woyzbun South UG 8.3Mt @ 14.19% Zn (resource-only upside). 2025 depletion 4.5Mt. [MATERIAL LABEL FIX 2026-07-10: was composite 'Zinc, lead, manganese' - loader needs single canonical; polymetallic detail retained in product_end_use/notes.]</t>
        </is>
      </c>
      <c r="X298" s="0" t="inlineStr">
        <is>
          <t>open_pit</t>
        </is>
      </c>
      <c r="Z298" s="0" t="n">
        <v>2040</v>
      </c>
      <c r="AA298" s="0" t="inlineStr">
        <is>
          <t>Zn-Pb bulk concentrate. [Commodity-level]</t>
        </is>
      </c>
    </row>
    <row r="299" ht="15.75" customHeight="1" s="74">
      <c r="A299" s="0" t="inlineStr">
        <is>
          <t>Glencore plc</t>
        </is>
      </c>
      <c r="B299" s="0" t="inlineStr">
        <is>
          <t>CH</t>
        </is>
      </c>
      <c r="C299" s="0" t="inlineStr">
        <is>
          <t>Kazzinc Operations (69.7%)</t>
        </is>
      </c>
      <c r="D299" s="0" t="inlineStr">
        <is>
          <t>integrated</t>
        </is>
      </c>
      <c r="E299" s="0" t="inlineStr">
        <is>
          <t>KZ</t>
        </is>
      </c>
      <c r="F299" s="0" t="inlineStr">
        <is>
          <t>East Kazakhstan</t>
        </is>
      </c>
      <c r="G299" s="0" t="inlineStr">
        <is>
          <t>Ust-Kamenogorsk</t>
        </is>
      </c>
      <c r="H299" s="0" t="n">
        <v>49.95</v>
      </c>
      <c r="I299" s="0" t="n">
        <v>82.61</v>
      </c>
      <c r="J299" s="0" t="inlineStr">
        <is>
          <t>operating</t>
        </is>
      </c>
      <c r="K299" s="0" t="inlineStr">
        <is>
          <t>Zinc</t>
        </is>
      </c>
      <c r="N299" s="0" t="n">
        <v>212500</v>
      </c>
      <c r="O299" s="0" t="inlineStr">
        <is>
          <t>t Zn own-source/yr (FY2025: 125.0kt metal + 87.5kt in conc, -7% yoy on Zapadny-&gt;Dalnezapadny pit transition at Zhairem; + own Pb 35.9kt, Cu 16.8kt, Au 543koz; total smelter Zn incl. 3rd-party 251.8kt - closes prior backfill item)</t>
        </is>
      </c>
      <c r="P299" s="0" t="b">
        <v>1</v>
      </c>
      <c r="Q299" s="0" t="inlineStr">
        <is>
          <t>refined</t>
        </is>
      </c>
      <c r="R299" s="0" t="inlineStr">
        <is>
          <t>7901.11</t>
        </is>
      </c>
      <c r="S299" s="0" t="inlineStr">
        <is>
          <t>jv_partner</t>
        </is>
      </c>
      <c r="T299" s="0" t="n">
        <v>0.697</v>
      </c>
      <c r="U299" s="0" t="inlineStr">
        <is>
          <t>https://www.glencore.com/.rest/api/v1/documents/static/a8114247-02e8-4bd8-bc04-81f411ba631c/GLEN_2025-FY-Production-Report.pdf</t>
        </is>
      </c>
      <c r="V299" s="0" t="inlineStr">
        <is>
          <t>[GLEN FY25 Production Report] Coordinates approximate - verify. Integrated mining+smelting. ownership 69.7% widely reported - VERIFY vs AR. Per-asset production to backfill from detailed tables. [R&amp;R 2025 (as at 31-Dec-25, pub 29-Jan-26) 2026-07-09] RESERVES: polymetallic 47.6Mt @ 3.30% Zn / 0.92% Pb / 0.17% Cu (Zhairem-Dalnezapadny 29.0Mt @4.92% Zn = bulk; Ridder cluster mines short lives) + Vasilkovsky gold 49.6Mt @ 1.6 g/t Au (11-yr life; stockpiles first-declared 2025). Stated mine lives: Zhairem 7 yrs, Vasilkovsky 11 yrs, Ridder-cluster mines ~2-7 yrs each (two-column PDF text interleaved - per-mine attribution VERIFY vs source pp.20-21). Attributable interest 70% per R&amp;R (consistent w/ 69.7% held). Shaimerden stockpile depleted + lease terminated 2025; Ushkatyn licence returned to state 2025. [MATERIAL LABEL FIX 2026-07-10: was composite 'Zinc, lead, manganese' - loader needs single canonical; polymetallic detail retained in product_end_use/notes.]</t>
        </is>
      </c>
      <c r="AA299" s="0" t="inlineStr">
        <is>
          <t>Refined Zn + Pb + Au/Ag by-products. [Commodity-level]</t>
        </is>
      </c>
    </row>
    <row r="300" ht="15.75" customHeight="1" s="74">
      <c r="A300" s="0" t="inlineStr">
        <is>
          <t>Glencore plc</t>
        </is>
      </c>
      <c r="B300" s="0" t="inlineStr">
        <is>
          <t>CH</t>
        </is>
      </c>
      <c r="C300" s="0" t="inlineStr">
        <is>
          <t>Horne Smelter (custom Cu)</t>
        </is>
      </c>
      <c r="D300" s="0" t="inlineStr">
        <is>
          <t>smelter</t>
        </is>
      </c>
      <c r="E300" s="0" t="inlineStr">
        <is>
          <t>CA</t>
        </is>
      </c>
      <c r="F300" s="0" t="inlineStr">
        <is>
          <t>QC</t>
        </is>
      </c>
      <c r="G300" s="0" t="inlineStr">
        <is>
          <t>Rouyn-Noranda</t>
        </is>
      </c>
      <c r="H300" s="0" t="n">
        <v>48.25</v>
      </c>
      <c r="I300" s="0" t="n">
        <v>-79.02</v>
      </c>
      <c r="J300" s="0" t="inlineStr">
        <is>
          <t>operating</t>
        </is>
      </c>
      <c r="K300" s="0" t="inlineStr">
        <is>
          <t>Copper</t>
        </is>
      </c>
      <c r="P300" s="0" t="b">
        <v>1</v>
      </c>
      <c r="Q300" s="0" t="inlineStr">
        <is>
          <t>refined</t>
        </is>
      </c>
      <c r="R300" s="0" t="inlineStr">
        <is>
          <t>7402.00</t>
        </is>
      </c>
      <c r="S300" s="0" t="inlineStr">
        <is>
          <t>operator</t>
        </is>
      </c>
      <c r="T300" s="0" t="n">
        <v>1</v>
      </c>
      <c r="U300" s="0" t="inlineStr">
        <is>
          <t>https://www.glencore.com/.rest/api/v1/documents/static/a8114247-02e8-4bd8-bc04-81f411ba631c/GLEN_2025-FY-Production-Report.pdf</t>
        </is>
      </c>
      <c r="V300" s="0" t="inlineStr">
        <is>
          <t>[GLEN FY25 Production Report] Coordinates approximate - verify. Custom metallurgical asset (group of 4: Altonorte/Pasar/Horne/CCR — combined Cu metal 316.7kt (-32%) + anode 434.7kt FY25; per-site split not disclosed, production blank). CLASS ACTION pending re contaminant emissions (event 206). Arsenic-emissions regulatory context.</t>
        </is>
      </c>
      <c r="AA300" s="0" t="inlineStr">
        <is>
          <t>Cu anode from custom concentrate + e-scrap recycling feed -&gt; CCR refinery. [Commodity-level]</t>
        </is>
      </c>
    </row>
    <row r="301" ht="15.75" customHeight="1" s="74">
      <c r="A301" s="0" t="inlineStr">
        <is>
          <t>Glencore plc</t>
        </is>
      </c>
      <c r="B301" s="0" t="inlineStr">
        <is>
          <t>CH</t>
        </is>
      </c>
      <c r="C301" s="0" t="inlineStr">
        <is>
          <t>CCR Refinery (custom Cu)</t>
        </is>
      </c>
      <c r="D301" s="0" t="inlineStr">
        <is>
          <t>refinery</t>
        </is>
      </c>
      <c r="E301" s="0" t="inlineStr">
        <is>
          <t>CA</t>
        </is>
      </c>
      <c r="F301" s="0" t="inlineStr">
        <is>
          <t>QC</t>
        </is>
      </c>
      <c r="G301" s="0" t="inlineStr">
        <is>
          <t>Montreal</t>
        </is>
      </c>
      <c r="H301" s="0" t="n">
        <v>45.63</v>
      </c>
      <c r="I301" s="0" t="n">
        <v>-73.51000000000001</v>
      </c>
      <c r="J301" s="0" t="inlineStr">
        <is>
          <t>operating</t>
        </is>
      </c>
      <c r="K301" s="0" t="inlineStr">
        <is>
          <t>Copper</t>
        </is>
      </c>
      <c r="P301" s="0" t="b">
        <v>1</v>
      </c>
      <c r="Q301" s="0" t="inlineStr">
        <is>
          <t>refined</t>
        </is>
      </c>
      <c r="R301" s="0" t="inlineStr">
        <is>
          <t>7403.00</t>
        </is>
      </c>
      <c r="S301" s="0" t="inlineStr">
        <is>
          <t>operator</t>
        </is>
      </c>
      <c r="T301" s="0" t="n">
        <v>1</v>
      </c>
      <c r="U301" s="0" t="inlineStr">
        <is>
          <t>https://www.glencore.com/.rest/api/v1/documents/static/a8114247-02e8-4bd8-bc04-81f411ba631c/GLEN_2025-FY-Production-Report.pdf</t>
        </is>
      </c>
      <c r="V301" s="0" t="inlineStr">
        <is>
          <t>[GLEN FY25 Production Report] Coordinates approximate - verify. See Horne row - combined custom-copper production, per-site blank.</t>
        </is>
      </c>
      <c r="AA301" s="0" t="inlineStr">
        <is>
          <t>Cu cathode. [Commodity-level]</t>
        </is>
      </c>
    </row>
    <row r="302" ht="15.75" customHeight="1" s="74">
      <c r="A302" s="0" t="inlineStr">
        <is>
          <t>Glencore plc</t>
        </is>
      </c>
      <c r="B302" s="0" t="inlineStr">
        <is>
          <t>CH</t>
        </is>
      </c>
      <c r="C302" s="0" t="inlineStr">
        <is>
          <t>Altonorte Smelter (custom Cu)</t>
        </is>
      </c>
      <c r="D302" s="0" t="inlineStr">
        <is>
          <t>smelter</t>
        </is>
      </c>
      <c r="E302" s="0" t="inlineStr">
        <is>
          <t>CL</t>
        </is>
      </c>
      <c r="F302" s="0" t="inlineStr">
        <is>
          <t>Antofagasta</t>
        </is>
      </c>
      <c r="G302" s="0" t="inlineStr">
        <is>
          <t>La Negra</t>
        </is>
      </c>
      <c r="H302" s="0" t="n">
        <v>-23.77</v>
      </c>
      <c r="I302" s="0" t="n">
        <v>-70.31</v>
      </c>
      <c r="J302" s="0" t="inlineStr">
        <is>
          <t>operating</t>
        </is>
      </c>
      <c r="K302" s="0" t="inlineStr">
        <is>
          <t>Copper</t>
        </is>
      </c>
      <c r="P302" s="0" t="b">
        <v>1</v>
      </c>
      <c r="Q302" s="0" t="inlineStr">
        <is>
          <t>intermediate</t>
        </is>
      </c>
      <c r="R302" s="0" t="inlineStr">
        <is>
          <t>7402.00</t>
        </is>
      </c>
      <c r="S302" s="0" t="inlineStr">
        <is>
          <t>operator</t>
        </is>
      </c>
      <c r="T302" s="0" t="n">
        <v>1</v>
      </c>
      <c r="U302" s="0" t="inlineStr">
        <is>
          <t>https://www.glencore.com/.rest/api/v1/documents/static/a8114247-02e8-4bd8-bc04-81f411ba631c/GLEN_2025-FY-Production-Report.pdf</t>
        </is>
      </c>
      <c r="V302" s="0" t="inlineStr">
        <is>
          <t>[GLEN FY25 Production Report] Coordinates approximate - verify. See Horne row - combined figures; -32% group driver not attributed per site. [FY25 Prod Report 2026-07-09] ~2-month stoppage in 2025 after furnace damage Q2-2025 (part of custom-Cu -32% group driver, now partially attributed).</t>
        </is>
      </c>
      <c r="AA302" s="0" t="inlineStr">
        <is>
          <t>Cu anode from custom concentrates. [Commodity-level]</t>
        </is>
      </c>
    </row>
    <row r="303" ht="15.75" customHeight="1" s="74">
      <c r="A303" s="0" t="inlineStr">
        <is>
          <t>Glencore plc</t>
        </is>
      </c>
      <c r="B303" s="0" t="inlineStr">
        <is>
          <t>CH</t>
        </is>
      </c>
      <c r="C303" s="0" t="inlineStr">
        <is>
          <t>PASAR Smelter-Refinery (custom Cu)</t>
        </is>
      </c>
      <c r="D303" s="0" t="inlineStr">
        <is>
          <t>integrated</t>
        </is>
      </c>
      <c r="E303" s="0" t="inlineStr">
        <is>
          <t>PH</t>
        </is>
      </c>
      <c r="F303" s="0" t="inlineStr">
        <is>
          <t>Leyte</t>
        </is>
      </c>
      <c r="G303" s="0" t="inlineStr">
        <is>
          <t>Isabel</t>
        </is>
      </c>
      <c r="H303" s="0" t="n">
        <v>10.94</v>
      </c>
      <c r="I303" s="0" t="n">
        <v>124.42</v>
      </c>
      <c r="J303" s="0" t="inlineStr">
        <is>
          <t>care_maintenance</t>
        </is>
      </c>
      <c r="K303" s="0" t="inlineStr">
        <is>
          <t>Copper</t>
        </is>
      </c>
      <c r="P303" s="0" t="b">
        <v>1</v>
      </c>
      <c r="Q303" s="0" t="inlineStr">
        <is>
          <t>refined</t>
        </is>
      </c>
      <c r="R303" s="0" t="inlineStr">
        <is>
          <t>7403.00</t>
        </is>
      </c>
      <c r="S303" s="0" t="inlineStr">
        <is>
          <t>operator</t>
        </is>
      </c>
      <c r="T303" s="0" t="n">
        <v>0</v>
      </c>
      <c r="U303" s="0" t="inlineStr">
        <is>
          <t>https://www.glencore.com/.rest/api/v1/documents/static/a8114247-02e8-4bd8-bc04-81f411ba631c/GLEN_2025-FY-Production-Report.pdf</t>
        </is>
      </c>
      <c r="V303" s="0" t="inlineStr">
        <is>
          <t>[GLEN FY25 Production Report] Coordinates approximate - verify. Status care_maintenance per public reporting (PASAR curtailed 2024) - VERIFY vs AR; included in custom-copper group figures historically. [FY25 Prod Report 2026-07-09] PASAR transitioned to C&amp;M Feb-2025 and was SOLD Sep-2025 - NO LONGER a Glencore facility. Row retained for history; REVIEW with Nicole: mark divested/remove from Glencore attribution before HHI/scoring load (ownership_type/status enums have no 'divested' value). [DIVESTED HANDLING 2026-07-10: ownership_pct set 0 - sold Sep-2025, zero Glencore attribution; row retained for history.]</t>
        </is>
      </c>
      <c r="AA303" s="0" t="inlineStr">
        <is>
          <t>Cu cathode. [Commodity-level]</t>
        </is>
      </c>
    </row>
    <row r="304" ht="15.75" customHeight="1" s="74">
      <c r="A304" s="0" t="inlineStr">
        <is>
          <t>Glencore plc</t>
        </is>
      </c>
      <c r="B304" s="0" t="inlineStr">
        <is>
          <t>CH</t>
        </is>
      </c>
      <c r="C304" s="0" t="inlineStr">
        <is>
          <t>Antapaccay Copper Mine</t>
        </is>
      </c>
      <c r="D304" s="0" t="inlineStr">
        <is>
          <t>mine</t>
        </is>
      </c>
      <c r="E304" s="0" t="inlineStr">
        <is>
          <t>PE</t>
        </is>
      </c>
      <c r="F304" s="0" t="inlineStr">
        <is>
          <t>Cusco</t>
        </is>
      </c>
      <c r="G304" s="0" t="inlineStr">
        <is>
          <t>Espinar (Yauri)</t>
        </is>
      </c>
      <c r="H304" s="0" t="n">
        <v>-14.95</v>
      </c>
      <c r="I304" s="0" t="n">
        <v>-71.37</v>
      </c>
      <c r="J304" s="0" t="inlineStr">
        <is>
          <t>operating</t>
        </is>
      </c>
      <c r="K304" s="0" t="inlineStr">
        <is>
          <t>Copper</t>
        </is>
      </c>
      <c r="N304" s="0" t="n">
        <v>135900</v>
      </c>
      <c r="O304" s="0" t="inlineStr">
        <is>
          <t>t Cu/yr (FY2025, DERIVED: 130.7kt dept concentrates [Antapaccay-only conc producer] + 5.2kt stated incremental cathode from Q3-25 leach restart; South America dept total 196.0kt w/ Lomas Bayas)</t>
        </is>
      </c>
      <c r="P304" s="0" t="b">
        <v>1</v>
      </c>
      <c r="Q304" s="0" t="inlineStr">
        <is>
          <t>concentrate</t>
        </is>
      </c>
      <c r="R304" s="0" t="inlineStr">
        <is>
          <t>2603.00</t>
        </is>
      </c>
      <c r="S304" s="0" t="inlineStr">
        <is>
          <t>operator</t>
        </is>
      </c>
      <c r="T304" s="0" t="n">
        <v>1</v>
      </c>
      <c r="U304" s="0" t="inlineStr">
        <is>
          <t>https://www.glencore.com/.rest/api/v1/documents/static/a17cc44b-7947-4169-9b6b-b882403fb42b/GLENCORE-Resources-and-Reserves-report-2025.pdf</t>
        </is>
      </c>
      <c r="V304" s="0" t="inlineStr">
        <is>
          <t>ADDED 2026-07-09 (reserves pass; was missing from seed despite FY25 walkthrough). [R&amp;R 2025 (as at 31-Dec-25, pub 29-Jan-26) 2026-07-09] RESERVES (JORC): 427Mt @ 0.34% Cu / 0.06 g/t Au (+23Mt yoy); mine life 11 yrs (~2036 =2025+11, derived). M&amp;I resources 587Mt @ 0.33% + Inferred 44Mt. 2025 depletion 41Mt. FY25 production hit by pit sequencing (ore hardness/throughput). GROWTH: Coroccohuayco project 9km east - resources 704Mt M&amp;I @ 0.58% Cu (+301Mt yoy), feasibility phase, would feed Antapaccay concentrator (no reserves yet - not seeded as row). Coordinates approximate - verify.</t>
        </is>
      </c>
      <c r="X304" s="0" t="inlineStr">
        <is>
          <t>open_pit</t>
        </is>
      </c>
      <c r="Z304" s="0" t="n">
        <v>2036</v>
      </c>
      <c r="AA304" s="0" t="inlineStr">
        <is>
          <t>Cu concentrate -&gt; smelting; minor SX-EW cathode. [Commodity-level]</t>
        </is>
      </c>
    </row>
    <row r="305" ht="15.75" customHeight="1" s="74">
      <c r="A305" s="0" t="inlineStr">
        <is>
          <t>Glencore plc</t>
        </is>
      </c>
      <c r="B305" s="0" t="inlineStr">
        <is>
          <t>CH</t>
        </is>
      </c>
      <c r="C305" s="0" t="inlineStr">
        <is>
          <t>Lomas Bayas Copper Mine</t>
        </is>
      </c>
      <c r="D305" s="0" t="inlineStr">
        <is>
          <t>mine</t>
        </is>
      </c>
      <c r="E305" s="0" t="inlineStr">
        <is>
          <t>CL</t>
        </is>
      </c>
      <c r="F305" s="0" t="inlineStr">
        <is>
          <t>Antofagasta</t>
        </is>
      </c>
      <c r="G305" s="0" t="inlineStr">
        <is>
          <t>Sierra Gorda area</t>
        </is>
      </c>
      <c r="H305" s="0" t="n">
        <v>-23.43</v>
      </c>
      <c r="I305" s="0" t="n">
        <v>-69.52</v>
      </c>
      <c r="J305" s="0" t="inlineStr">
        <is>
          <t>operating</t>
        </is>
      </c>
      <c r="K305" s="0" t="inlineStr">
        <is>
          <t>Copper</t>
        </is>
      </c>
      <c r="N305" s="0" t="n">
        <v>60100</v>
      </c>
      <c r="O305" s="0" t="inlineStr">
        <is>
          <t>t Cu cathode/yr (FY2025, DERIVED: dept cathode 65.3kt minus 5.2kt stated Antapaccay leach increment; VERIFY when per-asset stated)</t>
        </is>
      </c>
      <c r="P305" s="0" t="b">
        <v>1</v>
      </c>
      <c r="Q305" s="0" t="inlineStr">
        <is>
          <t>refined</t>
        </is>
      </c>
      <c r="R305" s="0" t="inlineStr">
        <is>
          <t>7403.00</t>
        </is>
      </c>
      <c r="S305" s="0" t="inlineStr">
        <is>
          <t>operator</t>
        </is>
      </c>
      <c r="T305" s="0" t="n">
        <v>1</v>
      </c>
      <c r="U305" s="0" t="inlineStr">
        <is>
          <t>https://www.glencore.com/.rest/api/v1/documents/static/a17cc44b-7947-4169-9b6b-b882403fb42b/GLENCORE-Resources-and-Reserves-report-2025.pdf</t>
        </is>
      </c>
      <c r="V305" s="0" t="inlineStr">
        <is>
          <t>ADDED 2026-07-09 (reserves pass; was missing from seed). [R&amp;R 2025 (as at 31-Dec-25, pub 29-Jan-26) 2026-07-09] RESERVES (JORC): ~279Mt @ ~0.28% Cu (LB-I oxides 90Mt@0.29% + LB-I mixed 16Mt@0.39% [first-declared] + LB-II oxides 173Mt@0.27%); net +7Mt yoy; mine life 7 yrs (~2032 =2025+7, derived). PERMIT RISK (stated): Reserve recovery requires extensions to environmental approvals for mine life through 2038 and WATER USE through 2028. M&amp;I resources 1,776Mt (+641Mt yoy incl. new LB-II sulphides - conceptual). 2025: acid + water supply interruptions dented production; depletion 61Mt ore moved. Coordinates approximate - verify.</t>
        </is>
      </c>
      <c r="X305" s="0" t="inlineStr">
        <is>
          <t>open_pit</t>
        </is>
      </c>
      <c r="Z305" s="0" t="n">
        <v>2032</v>
      </c>
      <c r="AA305" s="0" t="inlineStr">
        <is>
          <t>Cu cathode (SX-EW heap/dump leach). [Commodity-level]</t>
        </is>
      </c>
    </row>
    <row r="306" ht="15.75" customHeight="1" s="74">
      <c r="A306" s="0" t="inlineStr">
        <is>
          <t>Glencore plc</t>
        </is>
      </c>
      <c r="B306" s="0" t="inlineStr">
        <is>
          <t>CH</t>
        </is>
      </c>
      <c r="C306" s="0" t="inlineStr">
        <is>
          <t>Kidd Mine (Kidd Creek)</t>
        </is>
      </c>
      <c r="D306" s="0" t="inlineStr">
        <is>
          <t>mine</t>
        </is>
      </c>
      <c r="E306" s="0" t="inlineStr">
        <is>
          <t>CA</t>
        </is>
      </c>
      <c r="F306" s="0" t="inlineStr">
        <is>
          <t>ON</t>
        </is>
      </c>
      <c r="G306" s="0" t="inlineStr">
        <is>
          <t>Timmins</t>
        </is>
      </c>
      <c r="H306" s="0" t="n">
        <v>48.69</v>
      </c>
      <c r="I306" s="0" t="n">
        <v>-81.37</v>
      </c>
      <c r="J306" s="0" t="inlineStr">
        <is>
          <t>operating</t>
        </is>
      </c>
      <c r="K306" s="0" t="inlineStr">
        <is>
          <t>Zinc</t>
        </is>
      </c>
      <c r="N306" s="0" t="n">
        <v>41500</v>
      </c>
      <c r="O306" s="0" t="inlineStr">
        <is>
          <t>t Zn in concentrate/yr (FY2025, +12% yoy on Q4 grades; + Cu in conc 17.7kt, Ag 1,577koz)</t>
        </is>
      </c>
      <c r="P306" s="0" t="b">
        <v>1</v>
      </c>
      <c r="Q306" s="0" t="inlineStr">
        <is>
          <t>concentrate</t>
        </is>
      </c>
      <c r="R306" s="0" t="inlineStr">
        <is>
          <t>2608.00</t>
        </is>
      </c>
      <c r="S306" s="0" t="inlineStr">
        <is>
          <t>operator</t>
        </is>
      </c>
      <c r="T306" s="0" t="n">
        <v>1</v>
      </c>
      <c r="U306" s="0" t="inlineStr">
        <is>
          <t>https://www.glencore.com/.rest/api/v1/documents/static/a17cc44b-7947-4169-9b6b-b882403fb42b/GLENCORE-Resources-and-Reserves-report-2025.pdf</t>
        </is>
      </c>
      <c r="V306" s="0" t="inlineStr">
        <is>
          <t>ADDED 2026-07-09 (reserves pass; was missing from seed). [R&amp;R 2025 (as at 31-Dec-25, pub 29-Jan-26) 2026-07-09] RESERVES (JORC): only 1.3Mt @ 3.35% Zn / 1.31% Cu - MINE LIFE 1 YEAR (stated: to end-2026, based on approved plan to 2,980m depth). DEPLETION SIGNAL: ~41.5kt/yr Zn + ~17.7kt/yr Cu concentrate supply exits market end-2026 absent plan change. Mine 5 down-dip resource 18.4Mt @ 4.28% Zn / 1.66% Cu (resource-only, no development decision disclosed). 2025 depletion 1.41Mt. Deepest base-metal mine in the world (~3km). Coordinates approximate - verify. [MATERIAL LABEL FIX 2026-07-10: was composite 'Zinc, lead, manganese' - loader needs single canonical; polymetallic detail retained in product_end_use/notes.]</t>
        </is>
      </c>
      <c r="X306" s="0" t="inlineStr">
        <is>
          <t>underground</t>
        </is>
      </c>
      <c r="Z306" s="0" t="n">
        <v>2026</v>
      </c>
      <c r="AA306" s="0" t="inlineStr">
        <is>
          <t>Zn + Cu concentrates + Ag. Actual materials Zn/Cu/Ag - label constraint, REVIEW. [Commodity-level]</t>
        </is>
      </c>
    </row>
    <row r="307" ht="15.75" customHeight="1" s="74">
      <c r="A307" s="0" t="inlineStr">
        <is>
          <t>Glencore plc</t>
        </is>
      </c>
      <c r="B307" s="0" t="inlineStr">
        <is>
          <t>CH</t>
        </is>
      </c>
      <c r="C307" s="0" t="inlineStr">
        <is>
          <t>Black Star Open Cut (Mount Isa Zn/Pb + Cu project)</t>
        </is>
      </c>
      <c r="D307" s="0" t="inlineStr">
        <is>
          <t>mine</t>
        </is>
      </c>
      <c r="E307" s="0" t="inlineStr">
        <is>
          <t>AU</t>
        </is>
      </c>
      <c r="F307" s="0" t="inlineStr">
        <is>
          <t>QLD</t>
        </is>
      </c>
      <c r="G307" s="0" t="inlineStr">
        <is>
          <t>Mount Isa</t>
        </is>
      </c>
      <c r="H307" s="0" t="n">
        <v>-20.72</v>
      </c>
      <c r="I307" s="0" t="n">
        <v>139.49</v>
      </c>
      <c r="J307" s="0" t="inlineStr">
        <is>
          <t>planned</t>
        </is>
      </c>
      <c r="K307" s="0" t="inlineStr">
        <is>
          <t>Zinc</t>
        </is>
      </c>
      <c r="N307" s="0" t="n">
        <v>0</v>
      </c>
      <c r="P307" s="0" t="b">
        <v>1</v>
      </c>
      <c r="Q307" s="0" t="inlineStr">
        <is>
          <t>concentrate</t>
        </is>
      </c>
      <c r="R307" s="0" t="inlineStr">
        <is>
          <t>2608.00</t>
        </is>
      </c>
      <c r="S307" s="0" t="inlineStr">
        <is>
          <t>operator</t>
        </is>
      </c>
      <c r="T307" s="0" t="n">
        <v>1</v>
      </c>
      <c r="U307" s="0" t="inlineStr">
        <is>
          <t>https://www.glencore.com/.rest/api/v1/documents/static/a17cc44b-7947-4169-9b6b-b882403fb42b/GLENCORE-Resources-and-Reserves-report-2025.pdf</t>
        </is>
      </c>
      <c r="V307" s="0" t="inlineStr">
        <is>
          <t>ADDED 2026-07-09 per Nicole (reserves pass; project row - has declared reserves unlike other growth projects). [R&amp;R 2025 (as at 31-Dec-25, pub 29-Jan-26) 2026-07-09] RESERVES DECLARED FIRST TIME following 2025 pre-feasibility study: Zn/Pb 66Mt @ 3.86% Zn / 2.50% Pb + Cu 27.7Mt @ 0.75% Cu (total ~94Mt); 15-yr expected mine life. Feasibility phase - large open pit integrated with George Fisher ore processing; extends Mount Isa zinc beyond George Fisher's 19-yr life. Same complex as row 312. Coordinates = Mount Isa complex, approximate. [MATERIAL LABEL FIX 2026-07-10: was composite 'Zinc, lead, manganese' - loader needs single canonical; polymetallic detail retained in product_end_use/notes.]</t>
        </is>
      </c>
      <c r="X307" s="0" t="inlineStr">
        <is>
          <t>open_pit</t>
        </is>
      </c>
      <c r="AA307" s="0" t="inlineStr">
        <is>
          <t>Zn/Pb concentrates (+ separate Cu pit stage); would process through existing Mount Isa facilities. [Commodity-level]</t>
        </is>
      </c>
    </row>
    <row r="308" ht="15.75" customHeight="1" s="74">
      <c r="A308" s="0" t="inlineStr">
        <is>
          <t>Glencore plc</t>
        </is>
      </c>
      <c r="B308" s="0" t="inlineStr">
        <is>
          <t>CH</t>
        </is>
      </c>
      <c r="C308" s="0" t="inlineStr">
        <is>
          <t>Mokala Manganese Mine</t>
        </is>
      </c>
      <c r="D308" s="0" t="inlineStr">
        <is>
          <t>mine</t>
        </is>
      </c>
      <c r="E308" s="0" t="inlineStr">
        <is>
          <t>ZA</t>
        </is>
      </c>
      <c r="F308" s="0" t="inlineStr">
        <is>
          <t>Northern Cape</t>
        </is>
      </c>
      <c r="G308" s="0" t="inlineStr">
        <is>
          <t>Hotazel</t>
        </is>
      </c>
      <c r="H308" s="0" t="n">
        <v>-27.2</v>
      </c>
      <c r="I308" s="0" t="n">
        <v>22.98</v>
      </c>
      <c r="J308" s="0" t="inlineStr">
        <is>
          <t>operating</t>
        </is>
      </c>
      <c r="K308" s="0" t="inlineStr">
        <is>
          <t>Manganese</t>
        </is>
      </c>
      <c r="P308" s="0" t="b">
        <v>1</v>
      </c>
      <c r="Q308" s="0" t="inlineStr">
        <is>
          <t>ore</t>
        </is>
      </c>
      <c r="R308" s="0" t="inlineStr">
        <is>
          <t>2602.00</t>
        </is>
      </c>
      <c r="S308" s="0" t="inlineStr">
        <is>
          <t>jv_partner</t>
        </is>
      </c>
      <c r="T308" s="0" t="n">
        <v>0.49</v>
      </c>
      <c r="U308" s="0" t="inlineStr">
        <is>
          <t>https://www.glencore.com/.rest/api/v1/documents/static/a17cc44b-7947-4169-9b6b-b882403fb42b/GLENCORE-Resources-and-Reserves-report-2025.pdf</t>
        </is>
      </c>
      <c r="V308" s="0" t="inlineStr">
        <is>
          <t>ADDED 2026-07-09 (R&amp;R ferroalloys section - Glencore's ONLY manganese mining asset, was missing from seed; Glencore previously had ZERO Mn representation). [R&amp;R 2025 (as at 31-Dec-25, pub 29-Jan-26) 2026-07-09] RESERVES: 17.4Mt @ 36.0% Mn, ALL Proved (~6.3Mt contained Mn, 100% basis); LOM 11 yrs (~2036 =2025+11, derived). M&amp;I resources 57.0Mt @ 36.7% Mn. Cut-off 36% Mn. 2025 reserve depletion 1.3Mt (~ore-mined proxy ~470kt contained Mn, 100% basis) - saleable production NOT disclosed in FY25 production report (Mokala absent from its tables), production_tpy left blank. Attributable interest 49% per R&amp;R (JV partner majority - identity not stated in R&amp;R, widely reported Ntsimbintle-led consortium - VERIFY before load). Same Kalahari field as South32 Hotazel row 295 (44%) - separate asset, no double-count. Coordinates approximate - verify.</t>
        </is>
      </c>
      <c r="X308" s="0" t="inlineStr">
        <is>
          <t>open_pit</t>
        </is>
      </c>
      <c r="Z308" s="0" t="n">
        <v>2036</v>
      </c>
      <c r="AA308" s="0" t="inlineStr">
        <is>
          <t>High-grade Mn ore (36%) -&gt; mostly steel alloys; Kalahari Mn Field also feeds battery-grade Mn sulphate chains. [Commodity-level]</t>
        </is>
      </c>
    </row>
    <row r="309" ht="15.75" customHeight="1" s="74">
      <c r="A309" s="0" t="inlineStr">
        <is>
          <t>Glencore plc</t>
        </is>
      </c>
      <c r="B309" s="0" t="inlineStr">
        <is>
          <t>CH</t>
        </is>
      </c>
      <c r="C309" s="0" t="inlineStr">
        <is>
          <t>Rhovan Vanadium Operation</t>
        </is>
      </c>
      <c r="D309" s="0" t="inlineStr">
        <is>
          <t>integrated</t>
        </is>
      </c>
      <c r="E309" s="0" t="inlineStr">
        <is>
          <t>ZA</t>
        </is>
      </c>
      <c r="F309" s="0" t="inlineStr">
        <is>
          <t>North West</t>
        </is>
      </c>
      <c r="G309" s="0" t="inlineStr">
        <is>
          <t>Brits area</t>
        </is>
      </c>
      <c r="H309" s="0" t="n">
        <v>-25.55</v>
      </c>
      <c r="I309" s="0" t="n">
        <v>27.85</v>
      </c>
      <c r="J309" s="0" t="inlineStr">
        <is>
          <t>operating</t>
        </is>
      </c>
      <c r="K309" s="0" t="inlineStr">
        <is>
          <t>Vanadium</t>
        </is>
      </c>
      <c r="N309" s="0" t="n">
        <v>8165</v>
      </c>
      <c r="O309" s="0" t="inlineStr">
        <is>
          <t>t V2O5/yr (FY2025: group V2O5 18.0 mlb stated in FY25 prod report x 453.6t/mlb; per-asset attribution safe - Rhovan is the sole V asset)</t>
        </is>
      </c>
      <c r="P309" s="0" t="b">
        <v>1</v>
      </c>
      <c r="Q309" s="0" t="inlineStr">
        <is>
          <t>refined</t>
        </is>
      </c>
      <c r="R309" s="0" t="inlineStr">
        <is>
          <t>2825.30</t>
        </is>
      </c>
      <c r="S309" s="0" t="inlineStr">
        <is>
          <t>jv_partner</t>
        </is>
      </c>
      <c r="T309" s="0" t="n">
        <v>0.74</v>
      </c>
      <c r="U309" s="0" t="inlineStr">
        <is>
          <t>https://www.glencore.com/.rest/api/v1/documents/static/a17cc44b-7947-4169-9b6b-b882403fb42b/GLENCORE-Resources-and-Reserves-report-2025.pdf</t>
        </is>
      </c>
      <c r="V309" s="0" t="inlineStr">
        <is>
          <t>ADDED 2026-07-09 (R&amp;R ferroalloys section; was missing from seed). [R&amp;R 2025 (as at 31-Dec-25, pub 29-Jan-26) 2026-07-09] RESERVES: 17.7Mt @ 0.47% V2O5 (in vanadiferous magnetite, Bushveld upper zone); LOM 7 yrs (~2032 =2025+7, derived); no net change yoy. M&amp;I resources 82Mt @ 0.46% V2O5. **MINING RIGHT EXPIRES 2027** (stated) - renewal risk within 2 yrs, LOM extends 5 yrs beyond current right; flag for permit-risk pillar. 2025 reserve depletion 2.5Mt. One of few primary-route V producers outside China - concentration signal. Coordinates approximate - verify. [MATERIAL LABEL FIX 2026-07-10: was composite 'Vanadium, titanium' - loader needs single canonical; polymetallic detail retained in product_end_use/notes.]</t>
        </is>
      </c>
      <c r="X309" s="0" t="inlineStr">
        <is>
          <t>open_pit</t>
        </is>
      </c>
      <c r="Z309" s="0" t="n">
        <v>2032</v>
      </c>
      <c r="AA309" s="0" t="inlineStr">
        <is>
          <t>V2O5 + ferrovanadium -&gt; steel alloys; V2O5 also VRFB (flow battery) electrolyte feedstock. Actual material vanadium only - label constraint, REVIEW. [Commodity-level]</t>
        </is>
      </c>
    </row>
    <row r="310" ht="15.75" customHeight="1" s="74">
      <c r="A310" s="0" t="inlineStr">
        <is>
          <t>Glencore plc</t>
        </is>
      </c>
      <c r="B310" s="0" t="inlineStr">
        <is>
          <t>CH</t>
        </is>
      </c>
      <c r="C310" s="0" t="inlineStr">
        <is>
          <t>Mineracao Rio do Norte (MRN) Bauxite Complex (45%)</t>
        </is>
      </c>
      <c r="D310" s="0" t="inlineStr">
        <is>
          <t>mine</t>
        </is>
      </c>
      <c r="E310" s="0" t="inlineStr">
        <is>
          <t>BR</t>
        </is>
      </c>
      <c r="F310" s="0" t="inlineStr">
        <is>
          <t>Para</t>
        </is>
      </c>
      <c r="G310" s="0" t="inlineStr">
        <is>
          <t>Porto Trombetas</t>
        </is>
      </c>
      <c r="H310" s="0" t="n">
        <v>-1.47</v>
      </c>
      <c r="I310" s="0" t="n">
        <v>-56.39</v>
      </c>
      <c r="J310" s="0" t="inlineStr">
        <is>
          <t>operating</t>
        </is>
      </c>
      <c r="K310" s="0" t="inlineStr">
        <is>
          <t>Aluminum</t>
        </is>
      </c>
      <c r="P310" s="0" t="b">
        <v>1</v>
      </c>
      <c r="Q310" s="0" t="inlineStr">
        <is>
          <t>ore</t>
        </is>
      </c>
      <c r="R310" s="0" t="inlineStr">
        <is>
          <t>2606.00</t>
        </is>
      </c>
      <c r="S310" s="0" t="inlineStr">
        <is>
          <t>minority_stake</t>
        </is>
      </c>
      <c r="T310" s="0" t="n">
        <v>0.45</v>
      </c>
      <c r="U310" s="0" t="inlineStr">
        <is>
          <t>https://www.glencore.com/.rest/api/v1/documents/static/a17cc44b-7947-4169-9b6b-b882403fb42b/GLENCORE-Resources-and-Reserves-report-2025.pdf</t>
        </is>
      </c>
      <c r="V310" s="0" t="inlineStr">
        <is>
          <t>ADDED 2026-07-09 (R&amp;R aluminium section; was missing from seed; Glencore previously had ZERO Al representation). [R&amp;R 2025 (as at 31-Dec-25, pub 29-Jan-26) 2026-07-09] RESERVES: 200Mt @ 48.8% available Al2O3 / 4.8% reactive SiO2 (dry beneficiated product tonnes; net -9Mt yoy); remaining LOM ~17 yrs stated (~2042). **PERMIT GATE (stated): East Zone Reserves support mining only to END-2028; West Zone Reserves require an operational licence grant BEFORE mining can commence** - near-term supply continuity depends on that licence. M&amp;I resources 461Mt @ 47.3%. 2025 depletion 11.4Mt (100% basis; Glencore 45% ~5.1Mt) - saleable production not disclosed in FY25 prod report, production_tpy blank. Aurukun Bauxite Project (70%, QLD feasibility phase) resources-only 440Mt M&amp;I @ 50.5% Al2O3, no reserves - NOT seeded as row, per Black Star-only precedent. Coordinates approximate - verify.</t>
        </is>
      </c>
      <c r="X310" s="0" t="inlineStr">
        <is>
          <t>open_pit</t>
        </is>
      </c>
      <c r="Z310" s="0" t="n">
        <v>2042</v>
      </c>
      <c r="AA310" s="0" t="inlineStr">
        <is>
          <t>Beneficiated bauxite -&gt; alumina refineries (domestic BR + export). [Commodity-level]</t>
        </is>
      </c>
    </row>
    <row r="311" ht="15.75" customHeight="1" s="74">
      <c r="A311" s="0" t="inlineStr">
        <is>
          <t>Ganfeng Lithium Co., Ltd.</t>
        </is>
      </c>
      <c r="B311" s="0" t="inlineStr">
        <is>
          <t>CN</t>
        </is>
      </c>
      <c r="C311" s="0" t="inlineStr">
        <is>
          <t>Goulamina Spodumene Mine</t>
        </is>
      </c>
      <c r="D311" s="0" t="inlineStr">
        <is>
          <t>mine</t>
        </is>
      </c>
      <c r="E311" s="0" t="inlineStr">
        <is>
          <t>ML</t>
        </is>
      </c>
      <c r="F311" s="0" t="inlineStr">
        <is>
          <t>Sikasso/Bougouni (southern Mali)</t>
        </is>
      </c>
      <c r="H311" s="0" t="n">
        <v>11.4</v>
      </c>
      <c r="I311" s="0" t="n">
        <v>-7.5</v>
      </c>
      <c r="J311" s="0" t="inlineStr">
        <is>
          <t>operating</t>
        </is>
      </c>
      <c r="K311" s="0" t="inlineStr">
        <is>
          <t>Lithium</t>
        </is>
      </c>
      <c r="L311" s="0" t="n">
        <v>506000</v>
      </c>
      <c r="M311" s="0" t="inlineStr">
        <is>
          <t>t/yr</t>
        </is>
      </c>
      <c r="N311" s="0" t="n">
        <v>336600</v>
      </c>
      <c r="O311" s="0" t="inlineStr">
        <is>
          <t>t concentrate (dry)/yr (FY2025 stated; first shipment to China Jun-2025)</t>
        </is>
      </c>
      <c r="P311" s="0" t="b">
        <v>1</v>
      </c>
      <c r="Q311" s="0" t="inlineStr">
        <is>
          <t>concentrate</t>
        </is>
      </c>
      <c r="R311" s="0" t="inlineStr">
        <is>
          <t>2530.90</t>
        </is>
      </c>
      <c r="S311" s="0" t="inlineStr">
        <is>
          <t>jv_partner</t>
        </is>
      </c>
      <c r="T311" s="0" t="n">
        <v>0.65</v>
      </c>
      <c r="U311" s="0" t="inlineStr">
        <is>
          <t>https://www1.hkexnews.hk/listedco/listconews/sehk/2026/0430/2026043002396.pdf</t>
        </is>
      </c>
      <c r="V311" s="0" t="inlineStr">
        <is>
          <t>ADDED 2026-07-09. [GFL AR 2025 (HKEX, filed 2026-04-30) 2026-07-09] Resources: 299.32Mt ore @ 1.33% Li2O = 3.99Mt Li2O (~7.14Mt LCE, M+I+Inf, 100% basis). Ganfeng 65% of project; Mali Lithium B.V. 100% Ganfeng since 2-Jul-2025 (&lt;=$342.7M for Leo Lithium's 40%); MALI GOVT holds RIGHT to 10-35% of Lithium du Mali SA (project co) - state-participation risk. AR cites 'multiple challenges' keeping logistics safe/stable (Mali junta-era jurisdiction risk). Phase I commissioned, ramping. Event 211. Coordinates approximate - verify. [capacity detail: t lithium concentrate/yr Phase I planned] [HS BACKFILL 2026-07-10: 2530.90 - spodumene/lepidolite concentrate; from product_end_use/name evidence, H6+mapping-table verified.]</t>
        </is>
      </c>
      <c r="X311" s="0" t="inlineStr">
        <is>
          <t>open_pit</t>
        </is>
      </c>
      <c r="AA311" s="0" t="inlineStr">
        <is>
          <t>Spodumene concentrate -&gt; Ganfeng China converters. [Commodity-level]</t>
        </is>
      </c>
    </row>
    <row r="312" ht="15.75" customHeight="1" s="74">
      <c r="A312" s="0" t="inlineStr">
        <is>
          <t>Ganfeng Lithium Co., Ltd.</t>
        </is>
      </c>
      <c r="B312" s="0" t="inlineStr">
        <is>
          <t>CN</t>
        </is>
      </c>
      <c r="C312" s="0" t="inlineStr">
        <is>
          <t>PPGS Lithium Salar Project (Pozuelos + Pastos Grandes + Sal de la Puna)</t>
        </is>
      </c>
      <c r="D312" s="0" t="inlineStr">
        <is>
          <t>mine</t>
        </is>
      </c>
      <c r="E312" s="0" t="inlineStr">
        <is>
          <t>AR</t>
        </is>
      </c>
      <c r="F312" s="0" t="inlineStr">
        <is>
          <t>Salta</t>
        </is>
      </c>
      <c r="H312" s="0" t="n">
        <v>-24.55</v>
      </c>
      <c r="I312" s="0" t="n">
        <v>-66.68000000000001</v>
      </c>
      <c r="J312" s="0" t="inlineStr">
        <is>
          <t>under_construction</t>
        </is>
      </c>
      <c r="K312" s="0" t="inlineStr">
        <is>
          <t>Lithium</t>
        </is>
      </c>
      <c r="L312" s="0" t="n">
        <v>150000</v>
      </c>
      <c r="M312" s="0" t="inlineStr">
        <is>
          <t>t/yr</t>
        </is>
      </c>
      <c r="N312" s="0" t="n">
        <v>0</v>
      </c>
      <c r="P312" s="0" t="b">
        <v>1</v>
      </c>
      <c r="Q312" s="0" t="inlineStr">
        <is>
          <t>ore</t>
        </is>
      </c>
      <c r="R312" s="0" t="inlineStr">
        <is>
          <t>2836.91</t>
        </is>
      </c>
      <c r="S312" s="0" t="inlineStr">
        <is>
          <t>jv_partner</t>
        </is>
      </c>
      <c r="T312" s="0" t="n">
        <v>0.67</v>
      </c>
      <c r="U312" s="0" t="inlineStr">
        <is>
          <t>https://www1.hkexnews.hk/listedco/listconews/sehk/2026/0430/2026043002396.pdf</t>
        </is>
      </c>
      <c r="V312" s="0" t="inlineStr">
        <is>
          <t>ADDED 2026-07-09. [GFL AR 2025 (HKEX, filed 2026-04-30) 2026-07-09] Resources 21.79Mt LCE (WSP Golder). 2025 integration: Ganfeng (GFL Intl) 67% / Lithium Americas Argentina (LAR) 33% of consolidated vehicle 'Millennial' (three adjacent salars, asset injection); + New Debt Facility Ganfeng-&gt;LAR (SOFR-based, secured on Millennial shares). Carrying value 31-Dec-25: PP&amp;E RMB1,539M + mining right RMB6,541M (Lithea acq Oct-2022); impairment test @19.06% pre-tax -&gt; NO impairment FY25. Event 214. Coordinates approximate - verify. [capacity detail: t LCE/yr long-term design (Phase I = 50kt; EIA + construction permit APPROVED 2025)] [HS BACKFILL 2026-07-10: 2836.91 - Li2CO3/LCE output; from product_end_use/name evidence, H6+mapping-table verified.]</t>
        </is>
      </c>
      <c r="X312" s="0" t="inlineStr">
        <is>
          <t>brine</t>
        </is>
      </c>
      <c r="AA312" s="0" t="inlineStr">
        <is>
          <t>Brine -&gt; LCE. [Commodity-level]</t>
        </is>
      </c>
    </row>
    <row r="313" ht="15.75" customHeight="1" s="74">
      <c r="A313" s="0" t="inlineStr">
        <is>
          <t>Ganfeng Lithium Co., Ltd.</t>
        </is>
      </c>
      <c r="B313" s="0" t="inlineStr">
        <is>
          <t>CN</t>
        </is>
      </c>
      <c r="C313" s="0" t="inlineStr">
        <is>
          <t>Yiliping Lithium Salar (Qinghai)</t>
        </is>
      </c>
      <c r="D313" s="0" t="inlineStr">
        <is>
          <t>mine</t>
        </is>
      </c>
      <c r="E313" s="0" t="inlineStr">
        <is>
          <t>CN</t>
        </is>
      </c>
      <c r="F313" s="0" t="inlineStr">
        <is>
          <t>Qinghai</t>
        </is>
      </c>
      <c r="G313" s="0" t="inlineStr">
        <is>
          <t>Haixi (Lenghu)</t>
        </is>
      </c>
      <c r="H313" s="0" t="n">
        <v>38.2</v>
      </c>
      <c r="I313" s="0" t="n">
        <v>91.8</v>
      </c>
      <c r="J313" s="0" t="inlineStr">
        <is>
          <t>operating</t>
        </is>
      </c>
      <c r="K313" s="0" t="inlineStr">
        <is>
          <t>Lithium</t>
        </is>
      </c>
      <c r="L313" s="0" t="n">
        <v>15000</v>
      </c>
      <c r="M313" s="0" t="inlineStr">
        <is>
          <t>t/yr</t>
        </is>
      </c>
      <c r="P313" s="0" t="b">
        <v>1</v>
      </c>
      <c r="Q313" s="0" t="inlineStr">
        <is>
          <t>refined</t>
        </is>
      </c>
      <c r="R313" s="0" t="inlineStr">
        <is>
          <t>2836.91</t>
        </is>
      </c>
      <c r="S313" s="0" t="inlineStr">
        <is>
          <t>minority_stake</t>
        </is>
      </c>
      <c r="T313" s="0" t="n">
        <v>0.49</v>
      </c>
      <c r="U313" s="0" t="inlineStr">
        <is>
          <t>https://www1.hkexnews.hk/listedco/listconews/sehk/2026/0430/2026043002396.pdf</t>
        </is>
      </c>
      <c r="V313" s="0" t="inlineStr">
        <is>
          <t>ADDED 2026-07-09. [GFL AR 2025 (HKEX, filed 2026-04-30) 2026-07-09] 49% indirect (Qinghai China Aviation Resources goodwill CGU, acq 4-Feb-2024). Mine area 422.72 km2; total-porosity reserve 843.5M m3 brine w/ 1.80Mt LiCl (+16.8Mt KCl); resource table 1.65Mt LCE. Integrated mine+plant row. Coordinates approximate - verify. [capacity detail: t Li2CO3/yr formed capacity]</t>
        </is>
      </c>
      <c r="X313" s="0" t="inlineStr">
        <is>
          <t>brine</t>
        </is>
      </c>
      <c r="AA313" s="0" t="inlineStr">
        <is>
          <t>Brine -&gt; lithium carbonate. [Commodity-level]</t>
        </is>
      </c>
    </row>
    <row r="314" ht="15.75" customHeight="1" s="74">
      <c r="A314" s="0" t="inlineStr">
        <is>
          <t>Ganfeng Lithium Co., Ltd.</t>
        </is>
      </c>
      <c r="B314" s="0" t="inlineStr">
        <is>
          <t>CN</t>
        </is>
      </c>
      <c r="C314" s="0" t="inlineStr">
        <is>
          <t>Gabus Niobium-Tantalum-Lithium Mine (Mengjin Mining)</t>
        </is>
      </c>
      <c r="D314" s="0" t="inlineStr">
        <is>
          <t>mine</t>
        </is>
      </c>
      <c r="E314" s="0" t="inlineStr">
        <is>
          <t>CN</t>
        </is>
      </c>
      <c r="F314" s="0" t="inlineStr">
        <is>
          <t>Inner Mongolia</t>
        </is>
      </c>
      <c r="G314" s="0" t="inlineStr">
        <is>
          <t>Xianghuangqi</t>
        </is>
      </c>
      <c r="H314" s="0" t="n">
        <v>42.2</v>
      </c>
      <c r="I314" s="0" t="n">
        <v>113.8</v>
      </c>
      <c r="J314" s="0" t="inlineStr">
        <is>
          <t>operating</t>
        </is>
      </c>
      <c r="K314" s="0" t="inlineStr">
        <is>
          <t>Lithium</t>
        </is>
      </c>
      <c r="L314" s="0" t="n">
        <v>600000</v>
      </c>
      <c r="M314" s="0" t="inlineStr">
        <is>
          <t>t/yr</t>
        </is>
      </c>
      <c r="P314" s="0" t="b">
        <v>1</v>
      </c>
      <c r="Q314" s="0" t="inlineStr">
        <is>
          <t>concentrate</t>
        </is>
      </c>
      <c r="R314" s="0" t="inlineStr">
        <is>
          <t>2530.90</t>
        </is>
      </c>
      <c r="S314" s="0" t="inlineStr">
        <is>
          <t>jv_partner</t>
        </is>
      </c>
      <c r="T314" s="0" t="n">
        <v>0.7</v>
      </c>
      <c r="U314" s="0" t="inlineStr">
        <is>
          <t>https://www1.hkexnews.hk/listedco/listconews/sehk/2026/0430/2026043002396.pdf</t>
        </is>
      </c>
      <c r="V314" s="0" t="inlineStr">
        <is>
          <t>ADDED 2026-07-09. [GFL AR 2025 (HKEX, filed 2026-04-30) 2026-07-09] 70% Ganfeng. Ore 72.44Mt; resource table 0.881Mt LCE. Trial production 2025, single-month full-rate achieved; FULL PRODUCTION expected 2026. Key lepidolite leg per Outlook. Coordinates approximate - verify. [capacity detail: t ore/yr Phase I mining+beneficiation] [HS BACKFILL 2026-07-10: 2530.90 - spodumene/lepidolite concentrate; from product_end_use/name evidence, H6+mapping-table verified.]</t>
        </is>
      </c>
      <c r="X314" s="0" t="inlineStr">
        <is>
          <t>open_pit</t>
        </is>
      </c>
      <c r="AA314" s="0" t="inlineStr">
        <is>
          <t>Lepidolite-type Li (greisen 0.67% Li upper zone) + Nb/Ta. [Commodity-level]</t>
        </is>
      </c>
    </row>
    <row r="315" ht="15.75" customHeight="1" s="74">
      <c r="A315" s="0" t="inlineStr">
        <is>
          <t>Ganfeng Lithium Co., Ltd.</t>
        </is>
      </c>
      <c r="B315" s="0" t="inlineStr">
        <is>
          <t>CN</t>
        </is>
      </c>
      <c r="C315" s="0" t="inlineStr">
        <is>
          <t>Songshugang Tantalum-Niobium-Lithium Mine (Shangrao)</t>
        </is>
      </c>
      <c r="D315" s="0" t="inlineStr">
        <is>
          <t>mine</t>
        </is>
      </c>
      <c r="E315" s="0" t="inlineStr">
        <is>
          <t>CN</t>
        </is>
      </c>
      <c r="F315" s="0" t="inlineStr">
        <is>
          <t>Jiangxi</t>
        </is>
      </c>
      <c r="G315" s="0" t="inlineStr">
        <is>
          <t>Hengfeng</t>
        </is>
      </c>
      <c r="H315" s="0" t="n">
        <v>28.4</v>
      </c>
      <c r="I315" s="0" t="n">
        <v>117.6</v>
      </c>
      <c r="J315" s="0" t="inlineStr">
        <is>
          <t>planned</t>
        </is>
      </c>
      <c r="K315" s="0" t="inlineStr">
        <is>
          <t>Lithium</t>
        </is>
      </c>
      <c r="N315" s="0" t="n">
        <v>0</v>
      </c>
      <c r="P315" s="0" t="b">
        <v>1</v>
      </c>
      <c r="Q315" s="0" t="inlineStr">
        <is>
          <t>ore</t>
        </is>
      </c>
      <c r="R315" s="0" t="inlineStr">
        <is>
          <t>2530.90</t>
        </is>
      </c>
      <c r="S315" s="0" t="inlineStr">
        <is>
          <t>operator</t>
        </is>
      </c>
      <c r="T315" s="0" t="n">
        <v>0.9</v>
      </c>
      <c r="U315" s="0" t="inlineStr">
        <is>
          <t>https://www1.hkexnews.hk/listedco/listconews/sehk/2026/0430/2026043002396.pdf</t>
        </is>
      </c>
      <c r="V315" s="0" t="inlineStr">
        <is>
          <t>ADDED 2026-07-09. [GFL AR 2025 (HKEX, filed 2026-04-30) 2026-07-09] Ore 298.6Mt; resource table 1.49Mt LCE. Exploration-to-mining conversion COMPLETE; mining licence obtained + updated 2025 + property certificate. Construction design phase. Coordinates approximate - verify. [GFL A-share AR 2025 (SZSE/cninfo, filed 2026-03-31) 2026-07-09] OWNERSHIP CORRECTED 100%-&gt;90% per A-share AR resource table (HKEX EN table omitted per-project %s in extraction). [HS BACKFILL 2026-07-10: 2530.90 - spodumene/lepidolite concentrate; from product_end_use/name evidence, H6+mapping-table verified.]</t>
        </is>
      </c>
      <c r="X315" s="0" t="inlineStr">
        <is>
          <t>open_pit</t>
        </is>
      </c>
      <c r="AA315" s="0" t="inlineStr">
        <is>
          <t>Lepidolite (assoc. Li2O 603.8kt @ 0.2022%) + Ta/Nb. [Commodity-level]</t>
        </is>
      </c>
    </row>
    <row r="316" ht="15.75" customHeight="1" s="74">
      <c r="A316" s="0" t="inlineStr">
        <is>
          <t>Ganfeng Lithium Co., Ltd.</t>
        </is>
      </c>
      <c r="B316" s="0" t="inlineStr">
        <is>
          <t>CN</t>
        </is>
      </c>
      <c r="C316" s="0" t="inlineStr">
        <is>
          <t>Bombali Lithium Project (Sierra Leone)</t>
        </is>
      </c>
      <c r="D316" s="0" t="inlineStr">
        <is>
          <t>mine</t>
        </is>
      </c>
      <c r="E316" s="0" t="inlineStr">
        <is>
          <t>SL</t>
        </is>
      </c>
      <c r="F316" s="0" t="inlineStr">
        <is>
          <t>Northern Province</t>
        </is>
      </c>
      <c r="G316" s="0" t="inlineStr">
        <is>
          <t>Bombali</t>
        </is>
      </c>
      <c r="H316" s="0" t="n">
        <v>9.1</v>
      </c>
      <c r="I316" s="0" t="n">
        <v>-12</v>
      </c>
      <c r="J316" s="0" t="inlineStr">
        <is>
          <t>under_construction</t>
        </is>
      </c>
      <c r="K316" s="0" t="inlineStr">
        <is>
          <t>Lithium</t>
        </is>
      </c>
      <c r="L316" s="0" t="n">
        <v>2000000</v>
      </c>
      <c r="M316" s="0" t="inlineStr">
        <is>
          <t>t/yr</t>
        </is>
      </c>
      <c r="N316" s="0" t="n">
        <v>0</v>
      </c>
      <c r="P316" s="0" t="b">
        <v>1</v>
      </c>
      <c r="Q316" s="0" t="inlineStr">
        <is>
          <t>ore</t>
        </is>
      </c>
      <c r="R316" s="0" t="inlineStr">
        <is>
          <t>2530.90</t>
        </is>
      </c>
      <c r="S316" s="0" t="inlineStr">
        <is>
          <t>operator</t>
        </is>
      </c>
      <c r="U316" s="0" t="inlineStr">
        <is>
          <t>https://www1.hkexnews.hk/listedco/listconews/sehk/2026/0430/2026043002396.pdf</t>
        </is>
      </c>
      <c r="V316" s="0" t="inlineStr">
        <is>
          <t>ADDED 2026-07-09. [GFL AR 2025 (HKEX, filed 2026-04-30) 2026-07-09] Controlled+inferred ore 39.15Mt @ 1.24% Li2O (0.484Mt Li2O) over 1.31 of 80.43 km2 licence. Mining licence + EIA obtained; infrastructure construction stage. Ownership % NOT stated - blank, VERIFY. Coordinates approximate - verify. [capacity detail: t ore/yr initial mining+beneficiation target] [HS BACKFILL 2026-07-10: 2530.90 - spodumene/lepidolite concentrate; from product_end_use/name evidence, H6+mapping-table verified.]</t>
        </is>
      </c>
      <c r="X316" s="0" t="inlineStr">
        <is>
          <t>open_pit</t>
        </is>
      </c>
      <c r="AA316" s="0" t="inlineStr">
        <is>
          <t>Spodumene/lepidolite pegmatite + assoc. Ta. [Commodity-level]</t>
        </is>
      </c>
    </row>
    <row r="317" ht="15.75" customHeight="1" s="74">
      <c r="A317" s="0" t="inlineStr">
        <is>
          <t>Ganfeng Lithium Co., Ltd.</t>
        </is>
      </c>
      <c r="B317" s="0" t="inlineStr">
        <is>
          <t>CN</t>
        </is>
      </c>
      <c r="C317" s="0" t="inlineStr">
        <is>
          <t>Bailongtan Phosphate Mine (Kunming)</t>
        </is>
      </c>
      <c r="D317" s="0" t="inlineStr">
        <is>
          <t>mine</t>
        </is>
      </c>
      <c r="E317" s="0" t="inlineStr">
        <is>
          <t>CN</t>
        </is>
      </c>
      <c r="F317" s="0" t="inlineStr">
        <is>
          <t>Yunnan</t>
        </is>
      </c>
      <c r="G317" s="0" t="inlineStr">
        <is>
          <t>Kunming</t>
        </is>
      </c>
      <c r="H317" s="0" t="n">
        <v>25.2</v>
      </c>
      <c r="I317" s="0" t="n">
        <v>102.6</v>
      </c>
      <c r="J317" s="0" t="inlineStr">
        <is>
          <t>operating</t>
        </is>
      </c>
      <c r="K317" s="0" t="inlineStr">
        <is>
          <t>Phosphate</t>
        </is>
      </c>
      <c r="L317" s="0" t="n">
        <v>400000</v>
      </c>
      <c r="M317" s="0" t="inlineStr">
        <is>
          <t>t/yr</t>
        </is>
      </c>
      <c r="N317" s="0" t="n">
        <v>402000</v>
      </c>
      <c r="O317" s="0" t="inlineStr">
        <is>
          <t>t raw ore/yr (FY2025 stated)</t>
        </is>
      </c>
      <c r="P317" s="0" t="b">
        <v>1</v>
      </c>
      <c r="Q317" s="0" t="inlineStr">
        <is>
          <t>ore</t>
        </is>
      </c>
      <c r="R317" s="0" t="inlineStr">
        <is>
          <t>2510.20</t>
        </is>
      </c>
      <c r="S317" s="0" t="inlineStr">
        <is>
          <t>operator</t>
        </is>
      </c>
      <c r="U317" s="0" t="inlineStr">
        <is>
          <t>https://www1.hkexnews.hk/listedco/listconews/sehk/2026/0430/2026043002396.pdf</t>
        </is>
      </c>
      <c r="V317" s="0" t="inlineStr">
        <is>
          <t>ADDED 2026-07-09 per Nicole (phosphate = launch material). [GFL AR 2025 (HKEX, filed 2026-04-30) 2026-07-09] Remaining resources 25.27Mt @ 22.29% P2O5 (cum. consumed 7.25Mt @ 29.17%). Acquired w/ Kunming China Aviation Phosphorus + Yunnan Hongfu Fertilizer (goodwill CGUs, acq 4-Feb-2024) - vertical integration toward LFP (Ganfeng recycling makes 40kt LFP). Ownership % not stated - VERIFY. HS 2510.20 UNVERIFIED vs Comtrade - VERIFY per HS workflow. Coordinates approximate - verify. [capacity detail: t raw ore/yr designed]</t>
        </is>
      </c>
      <c r="X317" s="0" t="inlineStr">
        <is>
          <t>open_pit</t>
        </is>
      </c>
      <c r="AA317" s="0" t="inlineStr">
        <is>
          <t>Collophane phosphate rock -&gt; LFP/fertilizer chains (grade split undisclosed). [Commodity-level]</t>
        </is>
      </c>
    </row>
    <row r="318" ht="15.75" customHeight="1" s="74">
      <c r="A318" s="0" t="inlineStr">
        <is>
          <t>Ganfeng Lithium Co., Ltd.</t>
        </is>
      </c>
      <c r="B318" s="0" t="inlineStr">
        <is>
          <t>CN</t>
        </is>
      </c>
      <c r="C318" s="0" t="inlineStr">
        <is>
          <t>Da'aozi Phosphate Mine (Kunming)</t>
        </is>
      </c>
      <c r="D318" s="0" t="inlineStr">
        <is>
          <t>mine</t>
        </is>
      </c>
      <c r="E318" s="0" t="inlineStr">
        <is>
          <t>CN</t>
        </is>
      </c>
      <c r="F318" s="0" t="inlineStr">
        <is>
          <t>Yunnan</t>
        </is>
      </c>
      <c r="G318" s="0" t="inlineStr">
        <is>
          <t>Kunming</t>
        </is>
      </c>
      <c r="H318" s="0" t="n">
        <v>25.1</v>
      </c>
      <c r="I318" s="0" t="n">
        <v>102.7</v>
      </c>
      <c r="J318" s="0" t="inlineStr">
        <is>
          <t>operating</t>
        </is>
      </c>
      <c r="K318" s="0" t="inlineStr">
        <is>
          <t>Phosphate</t>
        </is>
      </c>
      <c r="L318" s="0" t="n">
        <v>600000</v>
      </c>
      <c r="M318" s="0" t="inlineStr">
        <is>
          <t>t/yr</t>
        </is>
      </c>
      <c r="N318" s="0" t="n">
        <v>601000</v>
      </c>
      <c r="O318" s="0" t="inlineStr">
        <is>
          <t>t raw ore/yr (FY2025 stated)</t>
        </is>
      </c>
      <c r="P318" s="0" t="b">
        <v>1</v>
      </c>
      <c r="Q318" s="0" t="inlineStr">
        <is>
          <t>ore</t>
        </is>
      </c>
      <c r="R318" s="0" t="inlineStr">
        <is>
          <t>2510.20</t>
        </is>
      </c>
      <c r="S318" s="0" t="inlineStr">
        <is>
          <t>operator</t>
        </is>
      </c>
      <c r="U318" s="0" t="inlineStr">
        <is>
          <t>https://www1.hkexnews.hk/listedco/listconews/sehk/2026/0430/2026043002396.pdf</t>
        </is>
      </c>
      <c r="V318" s="0" t="inlineStr">
        <is>
          <t>ADDED 2026-07-09 per Nicole. [GFL AR 2025 (HKEX, filed 2026-04-30) 2026-07-09] Remaining resources 31.32Mt @ 24.46% P2O5 (cum. consumed 2.45Mt). Same Yunnan cluster as Bailongtan. HS + ownership VERIFY as row above. Coordinates approximate - verify. [capacity detail: t raw ore/yr designed]</t>
        </is>
      </c>
      <c r="X318" s="0" t="inlineStr">
        <is>
          <t>open_pit</t>
        </is>
      </c>
      <c r="AA318" s="0" t="inlineStr">
        <is>
          <t>Phosphate rock. [Commodity-level]</t>
        </is>
      </c>
    </row>
    <row r="319" ht="15.75" customHeight="1" s="74">
      <c r="A319" s="0" t="inlineStr">
        <is>
          <t>Ganfeng Lithium Co., Ltd.</t>
        </is>
      </c>
      <c r="B319" s="0" t="inlineStr">
        <is>
          <t>CN</t>
        </is>
      </c>
      <c r="C319" s="0" t="inlineStr">
        <is>
          <t>Ningdu Ganfeng Lithium Plant</t>
        </is>
      </c>
      <c r="D319" s="0" t="inlineStr">
        <is>
          <t>processing</t>
        </is>
      </c>
      <c r="E319" s="0" t="inlineStr">
        <is>
          <t>CN</t>
        </is>
      </c>
      <c r="F319" s="0" t="inlineStr">
        <is>
          <t>Jiangxi</t>
        </is>
      </c>
      <c r="G319" s="0" t="inlineStr">
        <is>
          <t>Ningdu</t>
        </is>
      </c>
      <c r="H319" s="0" t="n">
        <v>26.5</v>
      </c>
      <c r="I319" s="0" t="n">
        <v>116</v>
      </c>
      <c r="J319" s="0" t="inlineStr">
        <is>
          <t>operating</t>
        </is>
      </c>
      <c r="K319" s="0" t="inlineStr">
        <is>
          <t>Lithium</t>
        </is>
      </c>
      <c r="L319" s="0" t="n">
        <v>20000</v>
      </c>
      <c r="M319" s="0" t="inlineStr">
        <is>
          <t>t/yr</t>
        </is>
      </c>
      <c r="P319" s="0" t="b">
        <v>1</v>
      </c>
      <c r="Q319" s="0" t="inlineStr">
        <is>
          <t>refined</t>
        </is>
      </c>
      <c r="R319" s="0" t="inlineStr">
        <is>
          <t>2836.91</t>
        </is>
      </c>
      <c r="S319" s="0" t="inlineStr">
        <is>
          <t>operator</t>
        </is>
      </c>
      <c r="T319" s="0" t="n">
        <v>1</v>
      </c>
      <c r="U319" s="0" t="inlineStr">
        <is>
          <t>https://www1.hkexnews.hk/listedco/listconews/sehk/2026/0430/2026043002396.pdf</t>
        </is>
      </c>
      <c r="V319" s="0" t="inlineStr">
        <is>
          <t>ADDED 2026-07-09. [GFL AR 2025 (HKEX, filed 2026-04-30) 2026-07-09] Carbonate plant.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 Li2CO3/yr designed] [HS BACKFILL 2026-07-10: 2836.91 - Li2CO3/LCE output; from product_end_use/name evidence, H6+mapping-table verified.]</t>
        </is>
      </c>
      <c r="W319" s="0" t="n">
        <v>2018</v>
      </c>
      <c r="AA319" s="0" t="inlineStr">
        <is>
          <t>Battery-grade lithium chemicals/metal. [Commodity-level]</t>
        </is>
      </c>
    </row>
    <row r="320" ht="15.75" customHeight="1" s="74">
      <c r="A320" s="0" t="inlineStr">
        <is>
          <t>Ganfeng Lithium Co., Ltd.</t>
        </is>
      </c>
      <c r="B320" s="0" t="inlineStr">
        <is>
          <t>CN</t>
        </is>
      </c>
      <c r="C320" s="0" t="inlineStr">
        <is>
          <t>Fengcheng Ganfeng Lithium Plant (Phase I)</t>
        </is>
      </c>
      <c r="D320" s="0" t="inlineStr">
        <is>
          <t>processing</t>
        </is>
      </c>
      <c r="E320" s="0" t="inlineStr">
        <is>
          <t>CN</t>
        </is>
      </c>
      <c r="F320" s="0" t="inlineStr">
        <is>
          <t>Jiangxi</t>
        </is>
      </c>
      <c r="G320" s="0" t="inlineStr">
        <is>
          <t>Fengcheng</t>
        </is>
      </c>
      <c r="H320" s="0" t="n">
        <v>28.2</v>
      </c>
      <c r="I320" s="0" t="n">
        <v>115.8</v>
      </c>
      <c r="J320" s="0" t="inlineStr">
        <is>
          <t>operating</t>
        </is>
      </c>
      <c r="K320" s="0" t="inlineStr">
        <is>
          <t>Lithium</t>
        </is>
      </c>
      <c r="L320" s="0" t="n">
        <v>25000</v>
      </c>
      <c r="M320" s="0" t="inlineStr">
        <is>
          <t>t/yr</t>
        </is>
      </c>
      <c r="P320" s="0" t="b">
        <v>1</v>
      </c>
      <c r="Q320" s="0" t="inlineStr">
        <is>
          <t>refined</t>
        </is>
      </c>
      <c r="R320" s="0" t="inlineStr">
        <is>
          <t>2530.90</t>
        </is>
      </c>
      <c r="S320" s="0" t="inlineStr">
        <is>
          <t>operator</t>
        </is>
      </c>
      <c r="T320" s="0" t="n">
        <v>1</v>
      </c>
      <c r="U320" s="0" t="inlineStr">
        <is>
          <t>https://www1.hkexnews.hk/listedco/listconews/sehk/2026/0430/2026043002396.pdf</t>
        </is>
      </c>
      <c r="V320" s="0" t="inlineStr">
        <is>
          <t>ADDED 2026-07-09. [GFL AR 2025 (HKEX, filed 2026-04-30) 2026-07-09] LiOH; automation gains + biomass/rooftop-PV -&gt; unit carbon intensity -10.2% FY25; Jiangxi zero-carbon park selection 2025.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 LiOH/yr designed Phase I] [HS BACKFILL 2026-07-10: 2530.90 - default hard-rock (REVIEW); from product_end_use/name evidence, H6+mapping-table verified.]</t>
        </is>
      </c>
      <c r="W320" s="0" t="n">
        <v>2024</v>
      </c>
      <c r="AA320" s="0" t="inlineStr">
        <is>
          <t>Battery-grade lithium chemicals/metal. [Commodity-level]</t>
        </is>
      </c>
    </row>
    <row r="321" ht="15.75" customHeight="1" s="74">
      <c r="A321" s="0" t="inlineStr">
        <is>
          <t>Ganfeng Lithium Co., Ltd.</t>
        </is>
      </c>
      <c r="B321" s="0" t="inlineStr">
        <is>
          <t>CN</t>
        </is>
      </c>
      <c r="C321" s="0" t="inlineStr">
        <is>
          <t>Sichuan Ganfeng Lithium Plant (Dazhou)</t>
        </is>
      </c>
      <c r="D321" s="0" t="inlineStr">
        <is>
          <t>processing</t>
        </is>
      </c>
      <c r="E321" s="0" t="inlineStr">
        <is>
          <t>CN</t>
        </is>
      </c>
      <c r="F321" s="0" t="inlineStr">
        <is>
          <t>Sichuan</t>
        </is>
      </c>
      <c r="G321" s="0" t="inlineStr">
        <is>
          <t>Dazhou</t>
        </is>
      </c>
      <c r="H321" s="0" t="n">
        <v>31.2</v>
      </c>
      <c r="I321" s="0" t="n">
        <v>107.5</v>
      </c>
      <c r="J321" s="0" t="inlineStr">
        <is>
          <t>operating</t>
        </is>
      </c>
      <c r="K321" s="0" t="inlineStr">
        <is>
          <t>Lithium</t>
        </is>
      </c>
      <c r="L321" s="0" t="n">
        <v>50000</v>
      </c>
      <c r="M321" s="0" t="inlineStr">
        <is>
          <t>t/yr</t>
        </is>
      </c>
      <c r="P321" s="0" t="b">
        <v>1</v>
      </c>
      <c r="Q321" s="0" t="inlineStr">
        <is>
          <t>refined</t>
        </is>
      </c>
      <c r="R321" s="0" t="inlineStr">
        <is>
          <t>2836.91</t>
        </is>
      </c>
      <c r="S321" s="0" t="inlineStr">
        <is>
          <t>operator</t>
        </is>
      </c>
      <c r="T321" s="0" t="n">
        <v>1</v>
      </c>
      <c r="U321" s="0" t="inlineStr">
        <is>
          <t>https://www1.hkexnews.hk/listedco/listconews/sehk/2026/0430/2026043002396.pdf</t>
        </is>
      </c>
      <c r="V321" s="0" t="inlineStr">
        <is>
          <t>ADDED 2026-07-09. [GFL AR 2025 (HKEX, filed 2026-04-30) 2026-07-09] 50kt lithium salt project: commissioning completed H1-2025; carbonate lines AT FULL CAPACITY FY25.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t/yr designed (25,000t Li2CO3 + 25,000t LiOH)] [HS BACKFILL 2026-07-10: 2836.91 - Li2CO3/LCE output; from product_end_use/name evidence, H6+mapping-table verified.]</t>
        </is>
      </c>
      <c r="W321" s="0" t="n">
        <v>2025</v>
      </c>
      <c r="AA321" s="0" t="inlineStr">
        <is>
          <t>Battery-grade lithium chemicals/metal. [Commodity-level]</t>
        </is>
      </c>
    </row>
    <row r="322" ht="15.75" customHeight="1" s="74">
      <c r="A322" s="0" t="inlineStr">
        <is>
          <t>Ganfeng Lithium Co., Ltd.</t>
        </is>
      </c>
      <c r="B322" s="0" t="inlineStr">
        <is>
          <t>CN</t>
        </is>
      </c>
      <c r="C322" s="0" t="inlineStr">
        <is>
          <t>Xinyu Ganfeng Lithium (high-purity plant)</t>
        </is>
      </c>
      <c r="D322" s="0" t="inlineStr">
        <is>
          <t>processing</t>
        </is>
      </c>
      <c r="E322" s="0" t="inlineStr">
        <is>
          <t>CN</t>
        </is>
      </c>
      <c r="F322" s="0" t="inlineStr">
        <is>
          <t>Jiangxi</t>
        </is>
      </c>
      <c r="G322" s="0" t="inlineStr">
        <is>
          <t>Xinyu</t>
        </is>
      </c>
      <c r="H322" s="0" t="n">
        <v>27.81</v>
      </c>
      <c r="I322" s="0" t="n">
        <v>114.92</v>
      </c>
      <c r="J322" s="0" t="inlineStr">
        <is>
          <t>operating</t>
        </is>
      </c>
      <c r="K322" s="0" t="inlineStr">
        <is>
          <t>Lithium</t>
        </is>
      </c>
      <c r="L322" s="0" t="n">
        <v>20000</v>
      </c>
      <c r="M322" s="0" t="inlineStr">
        <is>
          <t>t/yr</t>
        </is>
      </c>
      <c r="P322" s="0" t="b">
        <v>1</v>
      </c>
      <c r="Q322" s="0" t="inlineStr">
        <is>
          <t>refined</t>
        </is>
      </c>
      <c r="R322" s="0" t="inlineStr">
        <is>
          <t>2836.91</t>
        </is>
      </c>
      <c r="S322" s="0" t="inlineStr">
        <is>
          <t>operator</t>
        </is>
      </c>
      <c r="T322" s="0" t="n">
        <v>1</v>
      </c>
      <c r="U322" s="0" t="inlineStr">
        <is>
          <t>https://www1.hkexnews.hk/listedco/listconews/sehk/2026/0430/2026043002396.pdf</t>
        </is>
      </c>
      <c r="V322" s="0" t="inlineStr">
        <is>
          <t>ADDED 2026-07-09. [GFL AR 2025 (HKEX, filed 2026-04-30) 2026-07-09] High-purity carbonate + lithium fluoride (+ perchlorate).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t/yr designed (10,000t high-purity Li2CO3 + 10,000t LiF)] [HS BACKFILL 2026-07-10: 2836.91 - Li2CO3/LCE output; from product_end_use/name evidence, H6+mapping-table verified.]</t>
        </is>
      </c>
      <c r="W322" s="0" t="n">
        <v>2020</v>
      </c>
      <c r="AA322" s="0" t="inlineStr">
        <is>
          <t>Battery-grade lithium chemicals/metal. [Commodity-level]</t>
        </is>
      </c>
    </row>
    <row r="323" ht="15.75" customHeight="1" s="74">
      <c r="A323" s="0" t="inlineStr">
        <is>
          <t>Ganfeng Lithium Co., Ltd.</t>
        </is>
      </c>
      <c r="B323" s="0" t="inlineStr">
        <is>
          <t>CN</t>
        </is>
      </c>
      <c r="C323" s="0" t="inlineStr">
        <is>
          <t>Yichun Ganfeng Lithium Metal Plant</t>
        </is>
      </c>
      <c r="D323" s="0" t="inlineStr">
        <is>
          <t>processing</t>
        </is>
      </c>
      <c r="E323" s="0" t="inlineStr">
        <is>
          <t>CN</t>
        </is>
      </c>
      <c r="F323" s="0" t="inlineStr">
        <is>
          <t>Jiangxi</t>
        </is>
      </c>
      <c r="G323" s="0" t="inlineStr">
        <is>
          <t>Yichun</t>
        </is>
      </c>
      <c r="H323" s="0" t="n">
        <v>27.8</v>
      </c>
      <c r="I323" s="0" t="n">
        <v>114.4</v>
      </c>
      <c r="J323" s="0" t="inlineStr">
        <is>
          <t>operating</t>
        </is>
      </c>
      <c r="K323" s="0" t="inlineStr">
        <is>
          <t>Lithium</t>
        </is>
      </c>
      <c r="L323" s="0" t="n">
        <v>1500</v>
      </c>
      <c r="M323" s="0" t="inlineStr">
        <is>
          <t>t/yr</t>
        </is>
      </c>
      <c r="P323" s="0" t="b">
        <v>1</v>
      </c>
      <c r="Q323" s="0" t="inlineStr">
        <is>
          <t>refined</t>
        </is>
      </c>
      <c r="R323" s="0" t="inlineStr">
        <is>
          <t>2805</t>
        </is>
      </c>
      <c r="S323" s="0" t="inlineStr">
        <is>
          <t>operator</t>
        </is>
      </c>
      <c r="T323" s="0" t="n">
        <v>1</v>
      </c>
      <c r="U323" s="0" t="inlineStr">
        <is>
          <t>https://www1.hkexnews.hk/listedco/listconews/sehk/2026/0430/2026043002396.pdf</t>
        </is>
      </c>
      <c r="V323" s="0" t="inlineStr">
        <is>
          <t>ADDED 2026-07-09. [GFL AR 2025 (HKEX, filed 2026-04-30) 2026-07-09] Li metal.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 lithium metal/yr designed] [HS BACKFILL 2026-07-10: 2805 - Li metal output; from product_end_use/name evidence, H6+mapping-table verified.]</t>
        </is>
      </c>
      <c r="W323" s="0" t="n">
        <v>2013</v>
      </c>
      <c r="AA323" s="0" t="inlineStr">
        <is>
          <t>Battery-grade lithium chemicals/metal. [Commodity-level]</t>
        </is>
      </c>
    </row>
    <row r="324" ht="15.75" customHeight="1" s="74">
      <c r="A324" s="0" t="inlineStr">
        <is>
          <t>Ganfeng Lithium Co., Ltd.</t>
        </is>
      </c>
      <c r="B324" s="0" t="inlineStr">
        <is>
          <t>CN</t>
        </is>
      </c>
      <c r="C324" s="0" t="inlineStr">
        <is>
          <t>Fengxin Ganfeng Lithium Metal Plant</t>
        </is>
      </c>
      <c r="D324" s="0" t="inlineStr">
        <is>
          <t>processing</t>
        </is>
      </c>
      <c r="E324" s="0" t="inlineStr">
        <is>
          <t>CN</t>
        </is>
      </c>
      <c r="F324" s="0" t="inlineStr">
        <is>
          <t>Jiangxi</t>
        </is>
      </c>
      <c r="G324" s="0" t="inlineStr">
        <is>
          <t>Fengxin</t>
        </is>
      </c>
      <c r="H324" s="0" t="n">
        <v>28.7</v>
      </c>
      <c r="I324" s="0" t="n">
        <v>115.4</v>
      </c>
      <c r="J324" s="0" t="inlineStr">
        <is>
          <t>operating</t>
        </is>
      </c>
      <c r="K324" s="0" t="inlineStr">
        <is>
          <t>Lithium</t>
        </is>
      </c>
      <c r="L324" s="0" t="n">
        <v>650</v>
      </c>
      <c r="M324" s="0" t="inlineStr">
        <is>
          <t>t/yr</t>
        </is>
      </c>
      <c r="P324" s="0" t="b">
        <v>1</v>
      </c>
      <c r="Q324" s="0" t="inlineStr">
        <is>
          <t>refined</t>
        </is>
      </c>
      <c r="R324" s="0" t="inlineStr">
        <is>
          <t>2805</t>
        </is>
      </c>
      <c r="S324" s="0" t="inlineStr">
        <is>
          <t>operator</t>
        </is>
      </c>
      <c r="T324" s="0" t="n">
        <v>1</v>
      </c>
      <c r="U324" s="0" t="inlineStr">
        <is>
          <t>https://www1.hkexnews.hk/listedco/listconews/sehk/2026/0430/2026043002396.pdf</t>
        </is>
      </c>
      <c r="V324" s="0" t="inlineStr">
        <is>
          <t>ADDED 2026-07-09. [GFL AR 2025 (HKEX, filed 2026-04-30) 2026-07-09] Li metal - oldest base.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 lithium metal/yr designed] [HS BACKFILL 2026-07-10: 2805 - Li metal output; from product_end_use/name evidence, H6+mapping-table verified.]</t>
        </is>
      </c>
      <c r="W324" s="0" t="n">
        <v>2011</v>
      </c>
      <c r="AA324" s="0" t="inlineStr">
        <is>
          <t>Battery-grade lithium chemicals/metal. [Commodity-level]</t>
        </is>
      </c>
    </row>
    <row r="325" ht="15.75" customHeight="1" s="74">
      <c r="A325" s="0" t="inlineStr">
        <is>
          <t>Ganfeng Lithium Co., Ltd.</t>
        </is>
      </c>
      <c r="B325" s="0" t="inlineStr">
        <is>
          <t>CN</t>
        </is>
      </c>
      <c r="C325" s="0" t="inlineStr">
        <is>
          <t>Qinghai Ganfeng Lithium Metal Plant (Phase I)</t>
        </is>
      </c>
      <c r="D325" s="0" t="inlineStr">
        <is>
          <t>processing</t>
        </is>
      </c>
      <c r="E325" s="0" t="inlineStr">
        <is>
          <t>CN</t>
        </is>
      </c>
      <c r="F325" s="0" t="inlineStr">
        <is>
          <t>Qinghai</t>
        </is>
      </c>
      <c r="G325" s="0" t="inlineStr">
        <is>
          <t>Haixi</t>
        </is>
      </c>
      <c r="H325" s="0" t="n">
        <v>36.4</v>
      </c>
      <c r="I325" s="0" t="n">
        <v>94.90000000000001</v>
      </c>
      <c r="J325" s="0" t="inlineStr">
        <is>
          <t>operating</t>
        </is>
      </c>
      <c r="K325" s="0" t="inlineStr">
        <is>
          <t>Lithium</t>
        </is>
      </c>
      <c r="L325" s="0" t="n">
        <v>1000</v>
      </c>
      <c r="M325" s="0" t="inlineStr">
        <is>
          <t>t/yr</t>
        </is>
      </c>
      <c r="P325" s="0" t="b">
        <v>1</v>
      </c>
      <c r="Q325" s="0" t="inlineStr">
        <is>
          <t>refined</t>
        </is>
      </c>
      <c r="R325" s="0" t="inlineStr">
        <is>
          <t>2805</t>
        </is>
      </c>
      <c r="S325" s="0" t="inlineStr">
        <is>
          <t>operator</t>
        </is>
      </c>
      <c r="T325" s="0" t="n">
        <v>1</v>
      </c>
      <c r="U325" s="0" t="inlineStr">
        <is>
          <t>https://www1.hkexnews.hk/listedco/listconews/sehk/2026/0430/2026043002396.pdf</t>
        </is>
      </c>
      <c r="V325" s="0" t="inlineStr">
        <is>
          <t>ADDED 2026-07-09. [GFL AR 2025 (HKEX, filed 2026-04-30) 2026-07-09] TRIAL PRODUCTION stage FY25, ramping; brine-route Li metal. Capacity from AR designed-capacity table. Group: world's largest Li-metal producer + largest PRC Li-compound supplier; battery-grade Li2S line released capacity FY25 (solid-state electrolyte feedstock &gt;=99.9%). Group 2030 target &gt;=600kt/yr lithium products. Coordinates approximate - verify. [capacity detail: t lithium metal/yr designed Phase I] [HS BACKFILL 2026-07-10: 2805 - Li metal output; from product_end_use/name evidence, H6+mapping-table verified.]</t>
        </is>
      </c>
      <c r="W325" s="0" t="n">
        <v>2025</v>
      </c>
      <c r="AA325" s="0" t="inlineStr">
        <is>
          <t>Battery-grade lithium chemicals/metal. [Commodity-level]</t>
        </is>
      </c>
    </row>
    <row r="326" ht="15.75" customHeight="1" s="74">
      <c r="A326" s="0" t="inlineStr">
        <is>
          <t>Ganfeng Lithium Co., Ltd.</t>
        </is>
      </c>
      <c r="B326" s="0" t="inlineStr">
        <is>
          <t>CN</t>
        </is>
      </c>
      <c r="C326" s="0" t="inlineStr">
        <is>
          <t>Ganfeng LiEnergy (Xinyu) Battery Base</t>
        </is>
      </c>
      <c r="D326" s="0" t="inlineStr">
        <is>
          <t>cell_factory</t>
        </is>
      </c>
      <c r="E326" s="0" t="inlineStr">
        <is>
          <t>CN</t>
        </is>
      </c>
      <c r="F326" s="0" t="inlineStr">
        <is>
          <t>Jiangxi</t>
        </is>
      </c>
      <c r="G326" s="0" t="inlineStr">
        <is>
          <t>Xinyu</t>
        </is>
      </c>
      <c r="H326" s="0" t="n">
        <v>27.82</v>
      </c>
      <c r="I326" s="0" t="n">
        <v>114.93</v>
      </c>
      <c r="J326" s="0" t="inlineStr">
        <is>
          <t>operating</t>
        </is>
      </c>
      <c r="K326" s="0" t="inlineStr">
        <is>
          <t>Lithium</t>
        </is>
      </c>
      <c r="L326" s="0" t="n">
        <v>40</v>
      </c>
      <c r="M326" s="0" t="inlineStr">
        <is>
          <t>GWh/yr</t>
        </is>
      </c>
      <c r="P326" s="0" t="b">
        <v>1</v>
      </c>
      <c r="Q326" s="0" t="inlineStr">
        <is>
          <t>fabricated</t>
        </is>
      </c>
      <c r="S326" s="0" t="inlineStr">
        <is>
          <t>operator</t>
        </is>
      </c>
      <c r="U326" s="0" t="inlineStr">
        <is>
          <t>https://www1.hkexnews.hk/listedco/listconews/sehk/2026/0430/2026043002396.pdf</t>
        </is>
      </c>
      <c r="V326" s="0" t="inlineStr">
        <is>
          <t>ADDED 2026-07-09 per Nicole (full scope incl. battery plants). [GFL AR 2025 (HKEX, filed 2026-04-30) 2026-07-09] Cells/modules/PACK incl. semi-solid-state. 314Ah storage cells shipping volume; 392Ah/588Ah developed 2025. Battery segment FY25 revenue RMB8.14B = 35.7% of group (2024: 31.2%). Solid-state: 400Wh/kg &gt;1,100 cycles; 500Wh/kg 10Ah small-batch (group R&amp;D). Coordinates approximate - verify. [capacity detail: GWh/yr cells (motive + storage + semi-solid-state) + 18GWh/yr storage PACK] [HS BACKFILL 2026-07-10: left blank - no cell-stage HS node exists (candidate: 8507 family) - taxonomy gap.]</t>
        </is>
      </c>
      <c r="W326" s="0" t="n">
        <v>2016</v>
      </c>
      <c r="AA326" s="0" t="inlineStr">
        <is>
          <t>Li-ion cells/PACK (motive, storage, consumer). [Cell-stage]</t>
        </is>
      </c>
    </row>
    <row r="327" ht="15.75" customHeight="1" s="74">
      <c r="A327" s="0" t="inlineStr">
        <is>
          <t>Ganfeng Lithium Co., Ltd.</t>
        </is>
      </c>
      <c r="B327" s="0" t="inlineStr">
        <is>
          <t>CN</t>
        </is>
      </c>
      <c r="C327" s="0" t="inlineStr">
        <is>
          <t>Nanchang Ganfeng Battery PACK Base</t>
        </is>
      </c>
      <c r="D327" s="0" t="inlineStr">
        <is>
          <t>cell_factory</t>
        </is>
      </c>
      <c r="E327" s="0" t="inlineStr">
        <is>
          <t>CN</t>
        </is>
      </c>
      <c r="F327" s="0" t="inlineStr">
        <is>
          <t>Jiangxi</t>
        </is>
      </c>
      <c r="G327" s="0" t="inlineStr">
        <is>
          <t>Nanchang</t>
        </is>
      </c>
      <c r="H327" s="0" t="n">
        <v>28.68</v>
      </c>
      <c r="I327" s="0" t="n">
        <v>115.86</v>
      </c>
      <c r="J327" s="0" t="inlineStr">
        <is>
          <t>operating</t>
        </is>
      </c>
      <c r="K327" s="0" t="inlineStr">
        <is>
          <t>Lithium</t>
        </is>
      </c>
      <c r="L327" s="0" t="n">
        <v>12</v>
      </c>
      <c r="M327" s="0" t="inlineStr">
        <is>
          <t>GWh/yr</t>
        </is>
      </c>
      <c r="P327" s="0" t="b">
        <v>1</v>
      </c>
      <c r="Q327" s="0" t="inlineStr">
        <is>
          <t>fabricated</t>
        </is>
      </c>
      <c r="S327" s="0" t="inlineStr">
        <is>
          <t>operator</t>
        </is>
      </c>
      <c r="U327" s="0" t="inlineStr">
        <is>
          <t>https://www1.hkexnews.hk/listedco/listconews/sehk/2026/0430/2026043002396.pdf</t>
        </is>
      </c>
      <c r="V327" s="0" t="inlineStr">
        <is>
          <t>ADDED 2026-07-09 per Nicole (full scope incl. battery plants). [GFL AR 2025 (HKEX, filed 2026-04-30) 2026-07-09] Storage PACK; new 2025. EDF storage-station cooperation (Europe). Battery segment FY25 revenue RMB8.14B = 35.7% of group (2024: 31.2%). Solid-state: 400Wh/kg &gt;1,100 cycles; 500Wh/kg 10Ah small-batch (group R&amp;D). Coordinates approximate - verify. [capacity detail: GWh/yr energy storage PACK systems] [HS BACKFILL 2026-07-10: left blank - no cell-stage HS node exists (candidate: 8507 family) - taxonomy gap.]</t>
        </is>
      </c>
      <c r="W327" s="0" t="n">
        <v>2025</v>
      </c>
      <c r="AA327" s="0" t="inlineStr">
        <is>
          <t>Li-ion cells/PACK (motive, storage, consumer). [Cell-stage]</t>
        </is>
      </c>
    </row>
    <row r="328" ht="15.75" customHeight="1" s="74">
      <c r="A328" s="0" t="inlineStr">
        <is>
          <t>Ganfeng Lithium Co., Ltd.</t>
        </is>
      </c>
      <c r="B328" s="0" t="inlineStr">
        <is>
          <t>CN</t>
        </is>
      </c>
      <c r="C328" s="0" t="inlineStr">
        <is>
          <t>Jiangsu Ganfeng Battery Base (Suzhou)</t>
        </is>
      </c>
      <c r="D328" s="0" t="inlineStr">
        <is>
          <t>cell_factory</t>
        </is>
      </c>
      <c r="E328" s="0" t="inlineStr">
        <is>
          <t>CN</t>
        </is>
      </c>
      <c r="F328" s="0" t="inlineStr">
        <is>
          <t>Jiangsu</t>
        </is>
      </c>
      <c r="G328" s="0" t="inlineStr">
        <is>
          <t>Suzhou</t>
        </is>
      </c>
      <c r="H328" s="0" t="n">
        <v>31.3</v>
      </c>
      <c r="I328" s="0" t="n">
        <v>120.6</v>
      </c>
      <c r="J328" s="0" t="inlineStr">
        <is>
          <t>operating</t>
        </is>
      </c>
      <c r="K328" s="0" t="inlineStr">
        <is>
          <t>Lithium</t>
        </is>
      </c>
      <c r="L328" s="0" t="n">
        <v>3.3</v>
      </c>
      <c r="M328" s="0" t="inlineStr">
        <is>
          <t>GWh/yr</t>
        </is>
      </c>
      <c r="P328" s="0" t="b">
        <v>1</v>
      </c>
      <c r="Q328" s="0" t="inlineStr">
        <is>
          <t>fabricated</t>
        </is>
      </c>
      <c r="S328" s="0" t="inlineStr">
        <is>
          <t>operator</t>
        </is>
      </c>
      <c r="U328" s="0" t="inlineStr">
        <is>
          <t>https://www1.hkexnews.hk/listedco/listconews/sehk/2026/0430/2026043002396.pdf</t>
        </is>
      </c>
      <c r="V328" s="0" t="inlineStr">
        <is>
          <t>ADDED 2026-07-09 per Nicole (full scope incl. battery plants). [GFL AR 2025 (HKEX, filed 2026-04-30) 2026-07-09] Power PACK + BMS. Battery segment FY25 revenue RMB8.14B = 35.7% of group (2024: 31.2%). Solid-state: 400Wh/kg &gt;1,100 cycles; 500Wh/kg 10Ah small-batch (group R&amp;D). Coordinates approximate - verify. [capacity detail: GWh/yr power PACK systems] [HS BACKFILL 2026-07-10: left blank - no cell-stage HS node exists (candidate: 8507 family) - taxonomy gap.]</t>
        </is>
      </c>
      <c r="W328" s="0" t="n">
        <v>2019</v>
      </c>
      <c r="AA328" s="0" t="inlineStr">
        <is>
          <t>Li-ion cells/PACK (motive, storage, consumer). [Cell-stage]</t>
        </is>
      </c>
    </row>
    <row r="329" ht="15.75" customHeight="1" s="74">
      <c r="A329" s="0" t="inlineStr">
        <is>
          <t>Ganfeng Lithium Co., Ltd.</t>
        </is>
      </c>
      <c r="B329" s="0" t="inlineStr">
        <is>
          <t>CN</t>
        </is>
      </c>
      <c r="C329" s="0" t="inlineStr">
        <is>
          <t>Huichuang New Energy (Dongguan)</t>
        </is>
      </c>
      <c r="D329" s="0" t="inlineStr">
        <is>
          <t>cell_factory</t>
        </is>
      </c>
      <c r="E329" s="0" t="inlineStr">
        <is>
          <t>CN</t>
        </is>
      </c>
      <c r="F329" s="0" t="inlineStr">
        <is>
          <t>Guangdong</t>
        </is>
      </c>
      <c r="G329" s="0" t="inlineStr">
        <is>
          <t>Dongguan</t>
        </is>
      </c>
      <c r="H329" s="0" t="n">
        <v>23.02</v>
      </c>
      <c r="I329" s="0" t="n">
        <v>113.75</v>
      </c>
      <c r="J329" s="0" t="inlineStr">
        <is>
          <t>operating</t>
        </is>
      </c>
      <c r="K329" s="0" t="inlineStr">
        <is>
          <t>Lithium</t>
        </is>
      </c>
      <c r="L329" s="0" t="n">
        <v>2</v>
      </c>
      <c r="M329" s="0" t="inlineStr">
        <is>
          <t>GWh/yr</t>
        </is>
      </c>
      <c r="P329" s="0" t="b">
        <v>1</v>
      </c>
      <c r="Q329" s="0" t="inlineStr">
        <is>
          <t>fabricated</t>
        </is>
      </c>
      <c r="S329" s="0" t="inlineStr">
        <is>
          <t>operator</t>
        </is>
      </c>
      <c r="U329" s="0" t="inlineStr">
        <is>
          <t>https://www1.hkexnews.hk/listedco/listconews/sehk/2026/0430/2026043002396.pdf</t>
        </is>
      </c>
      <c r="V329" s="0" t="inlineStr">
        <is>
          <t>ADDED 2026-07-09 per Nicole (full scope incl. battery plants). [GFL AR 2025 (HKEX, filed 2026-04-30) 2026-07-09] Two-wheeler + outdoor/household storage PACK; goodwill CGU (acq 18-Sep-2021). Battery segment FY25 revenue RMB8.14B = 35.7% of group (2024: 31.2%). Solid-state: 400Wh/kg &gt;1,100 cycles; 500Wh/kg 10Ah small-batch (group R&amp;D). Coordinates approximate - verify. [capacity detail: GWh/yr battery PACK systems] [HS BACKFILL 2026-07-10: left blank - no cell-stage HS node exists (candidate: 8507 family) - taxonomy gap.]</t>
        </is>
      </c>
      <c r="W329" s="0" t="n">
        <v>2017</v>
      </c>
      <c r="AA329" s="0" t="inlineStr">
        <is>
          <t>Li-ion cells/PACK (motive, storage, consumer). [Cell-stage]</t>
        </is>
      </c>
    </row>
    <row r="330" ht="15.75" customHeight="1" s="74">
      <c r="A330" s="0" t="inlineStr">
        <is>
          <t>Ganfeng Lithium Co., Ltd.</t>
        </is>
      </c>
      <c r="B330" s="0" t="inlineStr">
        <is>
          <t>CN</t>
        </is>
      </c>
      <c r="C330" s="0" t="inlineStr">
        <is>
          <t>Chongqing Ganfeng Lithium Battery</t>
        </is>
      </c>
      <c r="D330" s="0" t="inlineStr">
        <is>
          <t>cell_factory</t>
        </is>
      </c>
      <c r="E330" s="0" t="inlineStr">
        <is>
          <t>CN</t>
        </is>
      </c>
      <c r="F330" s="0" t="inlineStr">
        <is>
          <t>Chongqing</t>
        </is>
      </c>
      <c r="G330" s="0" t="inlineStr">
        <is>
          <t>Chongqing</t>
        </is>
      </c>
      <c r="H330" s="0" t="n">
        <v>29.56</v>
      </c>
      <c r="I330" s="0" t="n">
        <v>106.55</v>
      </c>
      <c r="J330" s="0" t="inlineStr">
        <is>
          <t>operating</t>
        </is>
      </c>
      <c r="K330" s="0" t="inlineStr">
        <is>
          <t>Lithium</t>
        </is>
      </c>
      <c r="L330" s="0" t="n">
        <v>4.5</v>
      </c>
      <c r="M330" s="0" t="inlineStr">
        <is>
          <t>GWh/yr</t>
        </is>
      </c>
      <c r="P330" s="0" t="b">
        <v>1</v>
      </c>
      <c r="Q330" s="0" t="inlineStr">
        <is>
          <t>fabricated</t>
        </is>
      </c>
      <c r="S330" s="0" t="inlineStr">
        <is>
          <t>operator</t>
        </is>
      </c>
      <c r="U330" s="0" t="inlineStr">
        <is>
          <t>https://www1.hkexnews.hk/listedco/listconews/sehk/2026/0430/2026043002396.pdf</t>
        </is>
      </c>
      <c r="V330" s="0" t="inlineStr">
        <is>
          <t>ADDED 2026-07-09 per Nicole (full scope incl. battery plants). [GFL AR 2025 (HKEX, filed 2026-04-30) 2026-07-09] Power PACK; provincial tech center 2025. Battery segment FY25 revenue RMB8.14B = 35.7% of group (2024: 31.2%). Solid-state: 400Wh/kg &gt;1,100 cycles; 500Wh/kg 10Ah small-batch (group R&amp;D). Coordinates approximate - verify. [capacity detail: GWh/yr motive power battery PACK systems] [HS BACKFILL 2026-07-10: left blank - no cell-stage HS node exists (candidate: 8507 family) - taxonomy gap.]</t>
        </is>
      </c>
      <c r="W330" s="0" t="n">
        <v>2023</v>
      </c>
      <c r="AA330" s="0" t="inlineStr">
        <is>
          <t>Li-ion cells/PACK (motive, storage, consumer). [Cell-stage]</t>
        </is>
      </c>
    </row>
    <row r="331" ht="15.75" customHeight="1" s="74">
      <c r="A331" s="0" t="inlineStr">
        <is>
          <t>Ganfeng Lithium Co., Ltd.</t>
        </is>
      </c>
      <c r="B331" s="0" t="inlineStr">
        <is>
          <t>CN</t>
        </is>
      </c>
      <c r="C331" s="0" t="inlineStr">
        <is>
          <t>Huizhou Ganfeng Battery Base</t>
        </is>
      </c>
      <c r="D331" s="0" t="inlineStr">
        <is>
          <t>cell_factory</t>
        </is>
      </c>
      <c r="E331" s="0" t="inlineStr">
        <is>
          <t>CN</t>
        </is>
      </c>
      <c r="F331" s="0" t="inlineStr">
        <is>
          <t>Guangdong</t>
        </is>
      </c>
      <c r="G331" s="0" t="inlineStr">
        <is>
          <t>Huizhou</t>
        </is>
      </c>
      <c r="H331" s="0" t="n">
        <v>23.11</v>
      </c>
      <c r="I331" s="0" t="n">
        <v>114.42</v>
      </c>
      <c r="J331" s="0" t="inlineStr">
        <is>
          <t>operating</t>
        </is>
      </c>
      <c r="K331" s="0" t="inlineStr">
        <is>
          <t>Lithium</t>
        </is>
      </c>
      <c r="M331" s="0" t="n"/>
      <c r="P331" s="0" t="b">
        <v>1</v>
      </c>
      <c r="Q331" s="0" t="inlineStr">
        <is>
          <t>fabricated</t>
        </is>
      </c>
      <c r="S331" s="0" t="inlineStr">
        <is>
          <t>operator</t>
        </is>
      </c>
      <c r="U331" s="0" t="inlineStr">
        <is>
          <t>https://www1.hkexnews.hk/listedco/listconews/sehk/2026/0430/2026043002396.pdf</t>
        </is>
      </c>
      <c r="V331" s="0" t="inlineStr">
        <is>
          <t>ADDED 2026-07-09 per Nicole (full scope incl. battery plants). [GFL AR 2025 (HKEX, filed 2026-04-30) 2026-07-09] TWS + 3C polymer cells; w/ Xinyu Electronics = 1.5M consumer cells/DAY. Battery segment FY25 revenue RMB8.14B = 35.7% of group (2024: 31.2%). Solid-state: 400Wh/kg &gt;1,100 cycles; 500Wh/kg 10Ah small-batch (group R&amp;D). Coordinates approximate - verify. [capacity detail: 100 million polymer lithium batteries/yr (cells, not tonnes)] [HS BACKFILL 2026-07-10: left blank - no cell-stage HS node exists (candidate: 8507 family) - taxonomy gap.]</t>
        </is>
      </c>
      <c r="W331" s="0" t="n">
        <v>2022</v>
      </c>
      <c r="AA331" s="0" t="inlineStr">
        <is>
          <t>Li-ion cells/PACK (motive, storage, consumer). [Cell-stage]</t>
        </is>
      </c>
    </row>
    <row r="332" ht="15.75" customHeight="1" s="74">
      <c r="A332" s="0" t="inlineStr">
        <is>
          <t>Ganfeng Lithium Co., Ltd.</t>
        </is>
      </c>
      <c r="B332" s="0" t="inlineStr">
        <is>
          <t>CN</t>
        </is>
      </c>
      <c r="C332" s="0" t="inlineStr">
        <is>
          <t>Ganfeng Electronics / Ganfeng New Lithium-ion (Xinyu)</t>
        </is>
      </c>
      <c r="D332" s="0" t="inlineStr">
        <is>
          <t>cell_factory</t>
        </is>
      </c>
      <c r="E332" s="0" t="inlineStr">
        <is>
          <t>CN</t>
        </is>
      </c>
      <c r="F332" s="0" t="inlineStr">
        <is>
          <t>Jiangxi</t>
        </is>
      </c>
      <c r="G332" s="0" t="inlineStr">
        <is>
          <t>Xinyu</t>
        </is>
      </c>
      <c r="H332" s="0" t="n">
        <v>27.8</v>
      </c>
      <c r="I332" s="0" t="n">
        <v>114.91</v>
      </c>
      <c r="J332" s="0" t="inlineStr">
        <is>
          <t>operating</t>
        </is>
      </c>
      <c r="K332" s="0" t="inlineStr">
        <is>
          <t>Lithium</t>
        </is>
      </c>
      <c r="M332" s="0" t="n"/>
      <c r="P332" s="0" t="b">
        <v>1</v>
      </c>
      <c r="Q332" s="0" t="inlineStr">
        <is>
          <t>fabricated</t>
        </is>
      </c>
      <c r="S332" s="0" t="inlineStr">
        <is>
          <t>operator</t>
        </is>
      </c>
      <c r="U332" s="0" t="inlineStr">
        <is>
          <t>https://www1.hkexnews.hk/listedco/listconews/sehk/2026/0430/2026043002396.pdf</t>
        </is>
      </c>
      <c r="V332" s="0" t="inlineStr">
        <is>
          <t>ADDED 2026-07-09 per Nicole (full scope incl. battery plants). [GFL AR 2025 (HKEX, filed 2026-04-30) 2026-07-09] Wearables/TWS/e-cig polymer cells. Battery segment FY25 revenue RMB8.14B = 35.7% of group (2024: 31.2%). Solid-state: 400Wh/kg &gt;1,100 cycles; 500Wh/kg 10Ah small-batch (group R&amp;D). Coordinates approximate - verify. [capacity detail: 390 million small polymer cells/yr (cells, not tonnes)] [HS BACKFILL 2026-07-10: left blank - no cell-stage HS node exists (candidate: 8507 family) - taxonomy gap.]</t>
        </is>
      </c>
      <c r="W332" s="0" t="n">
        <v>2018</v>
      </c>
      <c r="AA332" s="0" t="inlineStr">
        <is>
          <t>Li-ion cells/PACK (motive, storage, consumer). [Cell-stage]</t>
        </is>
      </c>
    </row>
    <row r="333" ht="15.75" customHeight="1" s="74">
      <c r="A333" s="0" t="inlineStr">
        <is>
          <t>Ganfeng Lithium Co., Ltd.</t>
        </is>
      </c>
      <c r="B333" s="0" t="inlineStr">
        <is>
          <t>CN</t>
        </is>
      </c>
      <c r="C333" s="0" t="inlineStr">
        <is>
          <t>Ganfeng Recycling (Xinyu) + Recycling Technology Phase I</t>
        </is>
      </c>
      <c r="D333" s="0" t="inlineStr">
        <is>
          <t>recycling</t>
        </is>
      </c>
      <c r="E333" s="0" t="inlineStr">
        <is>
          <t>CN</t>
        </is>
      </c>
      <c r="F333" s="0" t="inlineStr">
        <is>
          <t>Jiangxi</t>
        </is>
      </c>
      <c r="G333" s="0" t="inlineStr">
        <is>
          <t>Xinyu</t>
        </is>
      </c>
      <c r="H333" s="0" t="n">
        <v>27.83</v>
      </c>
      <c r="I333" s="0" t="n">
        <v>114.94</v>
      </c>
      <c r="J333" s="0" t="inlineStr">
        <is>
          <t>operating</t>
        </is>
      </c>
      <c r="K333" s="0" t="inlineStr">
        <is>
          <t>Lithium</t>
        </is>
      </c>
      <c r="L333" s="0" t="n">
        <v>60000</v>
      </c>
      <c r="M333" s="0" t="inlineStr">
        <is>
          <t>t/yr</t>
        </is>
      </c>
      <c r="P333" s="0" t="b">
        <v>1</v>
      </c>
      <c r="Q333" s="0" t="inlineStr">
        <is>
          <t>scrap</t>
        </is>
      </c>
      <c r="S333" s="0" t="inlineStr">
        <is>
          <t>operator</t>
        </is>
      </c>
      <c r="T333" s="0" t="n">
        <v>1</v>
      </c>
      <c r="U333" s="0" t="inlineStr">
        <is>
          <t>https://www1.hkexnews.hk/listedco/listconews/sehk/2026/0430/2026043002396.pdf</t>
        </is>
      </c>
      <c r="V333" s="0" t="inlineStr">
        <is>
          <t>ADDED 2026-07-09. [GFL AR 2025 (HKEX, filed 2026-04-30) 2026-07-09] Recycling Tech Phase I COMPLETED FY25, releasing capacity - full-component recovery of waste LFP. Li recovery 94%; Ni-Co 99%. PRC LFP-recycling share #1. NCM precursor. 8-city national recycling network established 2025. Coordinates approximate - verify. [capacity detail: t products/yr (20,000t battery-grade Li2CO3 + 40,000t battery-grade LiFePO4)] [HS BACKFILL 2026-07-10: left blank - no Lithium scrap HS node exists (candidate: 854810) - taxonomy gap.]</t>
        </is>
      </c>
      <c r="W333" s="0" t="n">
        <v>2017</v>
      </c>
      <c r="AA333" s="0" t="inlineStr">
        <is>
          <t>Decommissioned battery recycling -&gt; Li2CO3/LFP/precursor. [Recycling-stage]</t>
        </is>
      </c>
    </row>
    <row r="334" ht="15.75" customHeight="1" s="74">
      <c r="A334" s="0" t="inlineStr">
        <is>
          <t>Ganfeng Lithium Co., Ltd.</t>
        </is>
      </c>
      <c r="B334" s="0" t="inlineStr">
        <is>
          <t>CN</t>
        </is>
      </c>
      <c r="C334" s="0" t="inlineStr">
        <is>
          <t>Ganzhou Renewable Resources (recycling)</t>
        </is>
      </c>
      <c r="D334" s="0" t="inlineStr">
        <is>
          <t>recycling</t>
        </is>
      </c>
      <c r="E334" s="0" t="inlineStr">
        <is>
          <t>CN</t>
        </is>
      </c>
      <c r="F334" s="0" t="inlineStr">
        <is>
          <t>Jiangxi</t>
        </is>
      </c>
      <c r="G334" s="0" t="inlineStr">
        <is>
          <t>Ganzhou</t>
        </is>
      </c>
      <c r="H334" s="0" t="n">
        <v>25.85</v>
      </c>
      <c r="I334" s="0" t="n">
        <v>114.93</v>
      </c>
      <c r="J334" s="0" t="inlineStr">
        <is>
          <t>operating</t>
        </is>
      </c>
      <c r="K334" s="0" t="inlineStr">
        <is>
          <t>Lithium</t>
        </is>
      </c>
      <c r="P334" s="0" t="b">
        <v>1</v>
      </c>
      <c r="Q334" s="0" t="inlineStr">
        <is>
          <t>scrap</t>
        </is>
      </c>
      <c r="S334" s="0" t="inlineStr">
        <is>
          <t>operator</t>
        </is>
      </c>
      <c r="T334" s="0" t="n">
        <v>1</v>
      </c>
      <c r="U334" s="0" t="inlineStr">
        <is>
          <t>https://www1.hkexnews.hk/listedco/listconews/sehk/2026/0430/2026043002396.pdf</t>
        </is>
      </c>
      <c r="V334" s="0" t="inlineStr">
        <is>
          <t>ADDED 2026-07-09. [GFL AR 2025 (HKEX, filed 2026-04-30) 2026-07-09] Metal waste + cathode material powder; dismantling/regeneration base. 8-city national recycling network established 2025. Coordinates approximate - verify. [HS BACKFILL 2026-07-10: left blank - no Lithium scrap HS node exists (candidate: 854810) - taxonomy gap.]</t>
        </is>
      </c>
      <c r="W334" s="0" t="n">
        <v>2022</v>
      </c>
      <c r="AA334" s="0" t="inlineStr">
        <is>
          <t>Decommissioned battery recycling -&gt; Li2CO3/LFP/precursor. [Recycling-stage]</t>
        </is>
      </c>
    </row>
    <row r="335" ht="15.75" customHeight="1" s="74">
      <c r="A335" s="0" t="inlineStr">
        <is>
          <t>Ganfeng Lithium Co., Ltd.</t>
        </is>
      </c>
      <c r="B335" s="0" t="inlineStr">
        <is>
          <t>CN</t>
        </is>
      </c>
      <c r="C335" s="0" t="inlineStr">
        <is>
          <t>Sichuan Ganfeng Recycling (Dazhou)</t>
        </is>
      </c>
      <c r="D335" s="0" t="inlineStr">
        <is>
          <t>recycling</t>
        </is>
      </c>
      <c r="E335" s="0" t="inlineStr">
        <is>
          <t>CN</t>
        </is>
      </c>
      <c r="F335" s="0" t="inlineStr">
        <is>
          <t>Sichuan</t>
        </is>
      </c>
      <c r="G335" s="0" t="inlineStr">
        <is>
          <t>Dazhou</t>
        </is>
      </c>
      <c r="H335" s="0" t="n">
        <v>31.2</v>
      </c>
      <c r="I335" s="0" t="n">
        <v>107.5</v>
      </c>
      <c r="J335" s="0" t="inlineStr">
        <is>
          <t>operating</t>
        </is>
      </c>
      <c r="K335" s="0" t="inlineStr">
        <is>
          <t>Lithium</t>
        </is>
      </c>
      <c r="P335" s="0" t="b">
        <v>1</v>
      </c>
      <c r="Q335" s="0" t="inlineStr">
        <is>
          <t>scrap</t>
        </is>
      </c>
      <c r="S335" s="0" t="inlineStr">
        <is>
          <t>operator</t>
        </is>
      </c>
      <c r="T335" s="0" t="n">
        <v>1</v>
      </c>
      <c r="U335" s="0" t="inlineStr">
        <is>
          <t>https://www1.hkexnews.hk/listedco/listconews/sehk/2026/0430/2026043002396.pdf</t>
        </is>
      </c>
      <c r="V335" s="0" t="inlineStr">
        <is>
          <t>ADDED 2026-07-09. [GFL AR 2025 (HKEX, filed 2026-04-30) 2026-07-09] Metal waste + cathode powder; co-located w/ Dazhou lithium salt plant. 8-city national recycling network established 2025. Coordinates approximate - verify. [HS BACKFILL 2026-07-10: left blank - no Lithium scrap HS node exists (candidate: 854810) - taxonomy gap.]</t>
        </is>
      </c>
      <c r="W335" s="0" t="n">
        <v>2023</v>
      </c>
      <c r="AA335" s="0" t="inlineStr">
        <is>
          <t>Decommissioned battery recycling -&gt; Li2CO3/LFP/precursor. [Recycling-stage]</t>
        </is>
      </c>
    </row>
    <row r="336" ht="15.75" customHeight="1" s="74">
      <c r="A336" s="0" t="inlineStr">
        <is>
          <t>Glencore plc</t>
        </is>
      </c>
      <c r="B336" s="0" t="inlineStr">
        <is>
          <t>CH</t>
        </is>
      </c>
      <c r="C336" s="0" t="inlineStr">
        <is>
          <t>Antamina Mine (33.75%)</t>
        </is>
      </c>
      <c r="D336" s="0" t="inlineStr">
        <is>
          <t>mine</t>
        </is>
      </c>
      <c r="E336" s="0" t="inlineStr">
        <is>
          <t>PE</t>
        </is>
      </c>
      <c r="F336" s="0" t="inlineStr">
        <is>
          <t>Ancash</t>
        </is>
      </c>
      <c r="G336" s="0" t="inlineStr">
        <is>
          <t>San Marcos</t>
        </is>
      </c>
      <c r="H336" s="0" t="n">
        <v>-9.539999999999999</v>
      </c>
      <c r="I336" s="0" t="n">
        <v>-77.05</v>
      </c>
      <c r="J336" s="0" t="inlineStr">
        <is>
          <t>operating</t>
        </is>
      </c>
      <c r="K336" s="0" t="inlineStr">
        <is>
          <t>Zinc</t>
        </is>
      </c>
      <c r="N336" s="0" t="n">
        <v>152600</v>
      </c>
      <c r="O336" s="0" t="inlineStr">
        <is>
          <t>t Zn in concentrate/yr (FY2025, 33.75% share, +66% zinc-rich phase)</t>
        </is>
      </c>
      <c r="P336" s="0" t="b">
        <v>0</v>
      </c>
      <c r="Q336" s="0" t="inlineStr">
        <is>
          <t>concentrate</t>
        </is>
      </c>
      <c r="R336" s="0" t="inlineStr">
        <is>
          <t>2608.00</t>
        </is>
      </c>
      <c r="S336" s="0" t="inlineStr">
        <is>
          <t>minority_stake</t>
        </is>
      </c>
      <c r="T336" s="0" t="n">
        <v>0.3375</v>
      </c>
      <c r="U336" s="0" t="inlineStr">
        <is>
          <t>https://www.glencore.com/.rest/api/v1/documents/static/a8114247-02e8-4bd8-bc04-81f411ba631c/GLEN_2025-FY-Production-Report.pdf</t>
        </is>
      </c>
      <c r="V336" s="0" t="inlineStr">
        <is>
          <t>CO-PRODUCT ROW added 2026-07-10 (was text in the Copper row's production_unit - invisible to Zn aggregates). Same facility as Glencore Antamina Cu row; loader upserts one facility w/ second material link. Zn-rich sequencing reverses 2026 (guide -25%). [FY2025 Production Report]</t>
        </is>
      </c>
      <c r="X336" s="0" t="inlineStr">
        <is>
          <t>open_pit</t>
        </is>
      </c>
      <c r="Z336" s="0" t="n">
        <v>2036</v>
      </c>
      <c r="AA336" s="0" t="inlineStr">
        <is>
          <t>Cu + Zn concentrates. [Commodity-level]</t>
        </is>
      </c>
    </row>
    <row r="337" ht="15.75" customHeight="1" s="74">
      <c r="A337" s="0" t="inlineStr">
        <is>
          <t>BHP Group</t>
        </is>
      </c>
      <c r="B337" s="0" t="inlineStr">
        <is>
          <t>AU</t>
        </is>
      </c>
      <c r="C337" s="0" t="inlineStr">
        <is>
          <t>Antamina</t>
        </is>
      </c>
      <c r="D337" s="0" t="inlineStr">
        <is>
          <t>mine</t>
        </is>
      </c>
      <c r="E337" s="0" t="inlineStr">
        <is>
          <t>PE</t>
        </is>
      </c>
      <c r="F337" s="0" t="inlineStr">
        <is>
          <t>Ancash</t>
        </is>
      </c>
      <c r="J337" s="0" t="inlineStr">
        <is>
          <t>operating</t>
        </is>
      </c>
      <c r="K337" s="0" t="inlineStr">
        <is>
          <t>Zinc</t>
        </is>
      </c>
      <c r="N337" s="0" t="n">
        <v>108607</v>
      </c>
      <c r="O337" s="0" t="inlineStr">
        <is>
          <t>t Zn/yr (FY-Jun-2025, BHP 33.75% share, +5% yoy)</t>
        </is>
      </c>
      <c r="P337" s="0" t="b">
        <v>0</v>
      </c>
      <c r="Q337" s="0" t="inlineStr">
        <is>
          <t>concentrate</t>
        </is>
      </c>
      <c r="R337" s="0" t="inlineStr">
        <is>
          <t>2608.00</t>
        </is>
      </c>
      <c r="S337" s="0" t="inlineStr">
        <is>
          <t>jv_partner</t>
        </is>
      </c>
      <c r="T337" s="0" t="n">
        <v>0.3375</v>
      </c>
      <c r="U337" s="0" t="inlineStr">
        <is>
          <t>https://www.sec.gov/Archives/edgar/data/811809/000119312525185641/d941636d20f.htm</t>
        </is>
      </c>
      <c r="V337" s="0" t="inlineStr">
        <is>
          <t>CO-PRODUCT ROW added 2026-07-10. BHP AI4 FY25: 108,607t Zn (33.75% share). Same facility as BHP Antamina Cu row. NOTE June year-end vs Glencore calendar - periods differ. [BHP 2025 20-F]</t>
        </is>
      </c>
      <c r="X337" s="0" t="inlineStr">
        <is>
          <t>open_pit</t>
        </is>
      </c>
      <c r="AA337" s="0" t="inlineStr">
        <is>
          <t>copper + zinc concentrate</t>
        </is>
      </c>
    </row>
    <row r="338" ht="15.75" customHeight="1" s="74">
      <c r="A338" s="0" t="inlineStr">
        <is>
          <t>Glencore plc</t>
        </is>
      </c>
      <c r="B338" s="0" t="inlineStr">
        <is>
          <t>CH</t>
        </is>
      </c>
      <c r="C338" s="0" t="inlineStr">
        <is>
          <t>Katanga (KCC) Copper-Cobalt Complex</t>
        </is>
      </c>
      <c r="D338" s="0" t="inlineStr">
        <is>
          <t>integrated</t>
        </is>
      </c>
      <c r="E338" s="0" t="inlineStr">
        <is>
          <t>CD</t>
        </is>
      </c>
      <c r="F338" s="0" t="inlineStr">
        <is>
          <t>Lualaba</t>
        </is>
      </c>
      <c r="G338" s="0" t="inlineStr">
        <is>
          <t>Kolwezi</t>
        </is>
      </c>
      <c r="H338" s="0" t="n">
        <v>-10.72</v>
      </c>
      <c r="I338" s="0" t="n">
        <v>25.42</v>
      </c>
      <c r="J338" s="0" t="inlineStr">
        <is>
          <t>operating</t>
        </is>
      </c>
      <c r="K338" s="0" t="inlineStr">
        <is>
          <t>Copper</t>
        </is>
      </c>
      <c r="N338" s="0" t="n">
        <v>188700</v>
      </c>
      <c r="O338" s="0" t="inlineStr">
        <is>
          <t>t Cu cathode/yr (FY2025, DERIVED: stated H2 125.5kt + implied H1 63.2kt)</t>
        </is>
      </c>
      <c r="P338" s="0" t="b">
        <v>0</v>
      </c>
      <c r="Q338" s="0" t="inlineStr">
        <is>
          <t>refined</t>
        </is>
      </c>
      <c r="R338" s="0" t="inlineStr">
        <is>
          <t>7403.11</t>
        </is>
      </c>
      <c r="S338" s="0" t="inlineStr">
        <is>
          <t>jv_partner</t>
        </is>
      </c>
      <c r="T338" s="0" t="n">
        <v>0.7</v>
      </c>
      <c r="U338" s="0" t="inlineStr">
        <is>
          <t>https://www.glencore.com/.rest/api/v1/documents/static/a8114247-02e8-4bd8-bc04-81f411ba631c/GLEN_2025-FY-Production-Report.pdf</t>
        </is>
      </c>
      <c r="V338" s="0" t="inlineStr">
        <is>
          <t>CO-PRODUCT ROW added 2026-07-10 - RESOLVES THE LOADER RISK flagged on the Cobalt row (Cu tonnage no longer rides a Co-material row). SX-EW cathode. Ownership 70% per R&amp;R 2025. [FY2025 Production Report]</t>
        </is>
      </c>
      <c r="X338" s="0" t="inlineStr">
        <is>
          <t>open_pit</t>
        </is>
      </c>
      <c r="Z338" s="0" t="n">
        <v>2043</v>
      </c>
      <c r="AA338" s="0" t="inlineStr">
        <is>
          <t>Cobalt hydroxide -&gt; Li-ion cathodes via refiners; Cu cathode/conc -&gt; electrical. [Commodity-level]</t>
        </is>
      </c>
    </row>
    <row r="339" ht="15.75" customHeight="1" s="74">
      <c r="A339" s="0" t="inlineStr">
        <is>
          <t>Glencore plc</t>
        </is>
      </c>
      <c r="B339" s="0" t="inlineStr">
        <is>
          <t>CH</t>
        </is>
      </c>
      <c r="C339" s="0" t="inlineStr">
        <is>
          <t>Mutanda Copper-Cobalt Mine</t>
        </is>
      </c>
      <c r="D339" s="0" t="inlineStr">
        <is>
          <t>mine</t>
        </is>
      </c>
      <c r="E339" s="0" t="inlineStr">
        <is>
          <t>CD</t>
        </is>
      </c>
      <c r="F339" s="0" t="inlineStr">
        <is>
          <t>Lualaba</t>
        </is>
      </c>
      <c r="G339" s="0" t="inlineStr">
        <is>
          <t>Kolwezi</t>
        </is>
      </c>
      <c r="H339" s="0" t="n">
        <v>-10.79</v>
      </c>
      <c r="I339" s="0" t="n">
        <v>25.79</v>
      </c>
      <c r="J339" s="0" t="inlineStr">
        <is>
          <t>operating</t>
        </is>
      </c>
      <c r="K339" s="0" t="inlineStr">
        <is>
          <t>Copper</t>
        </is>
      </c>
      <c r="N339" s="0" t="n">
        <v>59100</v>
      </c>
      <c r="O339" s="0" t="inlineStr">
        <is>
          <t>t Cu cathode/yr (FY2025, DERIVED: African Copper 247.8kt minus KCC 188.7kt)</t>
        </is>
      </c>
      <c r="P339" s="0" t="b">
        <v>0</v>
      </c>
      <c r="Q339" s="0" t="inlineStr">
        <is>
          <t>refined</t>
        </is>
      </c>
      <c r="R339" s="0" t="inlineStr">
        <is>
          <t>7403.11</t>
        </is>
      </c>
      <c r="S339" s="0" t="inlineStr">
        <is>
          <t>jv_partner</t>
        </is>
      </c>
      <c r="T339" s="0" t="n">
        <v>0.95</v>
      </c>
      <c r="U339" s="0" t="inlineStr">
        <is>
          <t>https://www.glencore.com/.rest/api/v1/documents/static/a8114247-02e8-4bd8-bc04-81f411ba631c/GLEN_2025-FY-Production-Report.pdf</t>
        </is>
      </c>
      <c r="V339" s="0" t="inlineStr">
        <is>
          <t>CO-PRODUCT ROW added 2026-07-10 - resolves LOADER RISK on the Cobalt row. SX-EW cathode. Ownership 95%. [FY2025 Production Report]</t>
        </is>
      </c>
      <c r="X339" s="0" t="inlineStr">
        <is>
          <t>open_pit</t>
        </is>
      </c>
      <c r="Z339" s="0" t="n">
        <v>2047</v>
      </c>
      <c r="AA339" s="0" t="inlineStr">
        <is>
          <t>Cobalt hydroxide -&gt; Li-ion cathodes via refiners; Cu cathode/conc -&gt; electrical. [Commodity-level]</t>
        </is>
      </c>
    </row>
    <row r="340" ht="15.75" customHeight="1" s="74">
      <c r="A340" s="0" t="inlineStr">
        <is>
          <t>Glencore plc</t>
        </is>
      </c>
      <c r="B340" s="0" t="inlineStr">
        <is>
          <t>CH</t>
        </is>
      </c>
      <c r="C340" s="0" t="inlineStr">
        <is>
          <t>Kidd Mine (Kidd Creek)</t>
        </is>
      </c>
      <c r="D340" s="0" t="inlineStr">
        <is>
          <t>mine</t>
        </is>
      </c>
      <c r="E340" s="0" t="inlineStr">
        <is>
          <t>CA</t>
        </is>
      </c>
      <c r="F340" s="0" t="inlineStr">
        <is>
          <t>ON</t>
        </is>
      </c>
      <c r="G340" s="0" t="inlineStr">
        <is>
          <t>Timmins</t>
        </is>
      </c>
      <c r="H340" s="0" t="n">
        <v>48.69</v>
      </c>
      <c r="I340" s="0" t="n">
        <v>-81.37</v>
      </c>
      <c r="J340" s="0" t="inlineStr">
        <is>
          <t>operating</t>
        </is>
      </c>
      <c r="K340" s="0" t="inlineStr">
        <is>
          <t>Copper</t>
        </is>
      </c>
      <c r="N340" s="0" t="n">
        <v>17700</v>
      </c>
      <c r="O340" s="0" t="inlineStr">
        <is>
          <t>t Cu in concentrate/yr (FY2025)</t>
        </is>
      </c>
      <c r="P340" s="0" t="b">
        <v>0</v>
      </c>
      <c r="Q340" s="0" t="inlineStr">
        <is>
          <t>concentrate</t>
        </is>
      </c>
      <c r="R340" s="0" t="inlineStr">
        <is>
          <t>2603.00</t>
        </is>
      </c>
      <c r="S340" s="0" t="inlineStr">
        <is>
          <t>operator</t>
        </is>
      </c>
      <c r="T340" s="0" t="n">
        <v>1</v>
      </c>
      <c r="U340" s="0" t="inlineStr">
        <is>
          <t>https://www.glencore.com/.rest/api/v1/documents/static/a17cc44b-7947-4169-9b6b-b882403fb42b/GLENCORE-Resources-and-Reserves-report-2025.pdf</t>
        </is>
      </c>
      <c r="V340" s="0" t="inlineStr">
        <is>
          <t>CO-PRODUCT ROW added 2026-07-10. Kidd Zn/Cu VMS - Cu conc was text-only. Reserves 1yr (end-2026): ~17.7kt/yr Cu also exits. [R&amp;R 2025 + FY25 report]</t>
        </is>
      </c>
      <c r="X340" s="0" t="inlineStr">
        <is>
          <t>underground</t>
        </is>
      </c>
      <c r="Z340" s="0" t="n">
        <v>2026</v>
      </c>
      <c r="AA340" s="0" t="inlineStr">
        <is>
          <t>Zn + Cu concentrates + Ag. Actual materials Zn/Cu/Ag - label constraint, REVIEW. [Commodity-level]</t>
        </is>
      </c>
    </row>
    <row r="341" ht="15.75" customHeight="1" s="74">
      <c r="A341" s="0" t="inlineStr">
        <is>
          <t>Glencore plc</t>
        </is>
      </c>
      <c r="B341" s="0" t="inlineStr">
        <is>
          <t>CH</t>
        </is>
      </c>
      <c r="C341" s="0" t="inlineStr">
        <is>
          <t>Murrin Murrin Nickel-Cobalt Operation</t>
        </is>
      </c>
      <c r="D341" s="0" t="inlineStr">
        <is>
          <t>integrated</t>
        </is>
      </c>
      <c r="E341" s="0" t="inlineStr">
        <is>
          <t>AU</t>
        </is>
      </c>
      <c r="F341" s="0" t="inlineStr">
        <is>
          <t>WA</t>
        </is>
      </c>
      <c r="G341" s="0" t="inlineStr">
        <is>
          <t>Leonora</t>
        </is>
      </c>
      <c r="H341" s="0" t="n">
        <v>-28.75</v>
      </c>
      <c r="I341" s="0" t="n">
        <v>121.89</v>
      </c>
      <c r="J341" s="0" t="inlineStr">
        <is>
          <t>operating</t>
        </is>
      </c>
      <c r="K341" s="0" t="inlineStr">
        <is>
          <t>Cobalt</t>
        </is>
      </c>
      <c r="N341" s="0" t="n">
        <v>2200</v>
      </c>
      <c r="O341" s="0" t="inlineStr">
        <is>
          <t>t Co metal/yr (FY2025 stated; briquettes w/ Ni)</t>
        </is>
      </c>
      <c r="P341" s="0" t="b">
        <v>0</v>
      </c>
      <c r="Q341" s="0" t="inlineStr">
        <is>
          <t>refined</t>
        </is>
      </c>
      <c r="R341" s="0" t="inlineStr">
        <is>
          <t>8105.20</t>
        </is>
      </c>
      <c r="S341" s="0" t="inlineStr">
        <is>
          <t>operator</t>
        </is>
      </c>
      <c r="T341" s="0" t="n">
        <v>1</v>
      </c>
      <c r="U341" s="0" t="inlineStr">
        <is>
          <t>https://www.glencore.com/.rest/api/v1/documents/static/a8114247-02e8-4bd8-bc04-81f411ba631c/GLEN_2025-FY-Production-Report.pdf</t>
        </is>
      </c>
      <c r="V341" s="0" t="inlineStr">
        <is>
          <t>UNITS AUDIT 2026-07-16: already on correct basis (t Co metal/yr, refined stage) — no change. || CO-PRODUCT ROW added 2026-07-10. Non-DRC refined cobalt - quota-free supply, relevant to Co concentration. Reserves 0.08% Co (~94kt contained). [FY2025 Production Report + R&amp;R]</t>
        </is>
      </c>
      <c r="X341" s="0" t="inlineStr">
        <is>
          <t>open_pit</t>
        </is>
      </c>
      <c r="Z341" s="0" t="n">
        <v>2055</v>
      </c>
      <c r="AA341" s="0" t="inlineStr">
        <is>
          <t>Class-1 Ni + cobalt -&gt; battery precursor + stainless. [Commodity-level]</t>
        </is>
      </c>
    </row>
    <row r="342" ht="15.75" customHeight="1" s="74">
      <c r="A342" s="0" t="inlineStr">
        <is>
          <t>CMOC Group Limited</t>
        </is>
      </c>
      <c r="B342" s="0" t="inlineStr">
        <is>
          <t>CN</t>
        </is>
      </c>
      <c r="C342" s="0" t="inlineStr">
        <is>
          <t>Tenke Fungurume Copper-Cobalt Mine (TFM)</t>
        </is>
      </c>
      <c r="D342" s="0" t="inlineStr">
        <is>
          <t>mine</t>
        </is>
      </c>
      <c r="E342" s="0" t="inlineStr">
        <is>
          <t>CD</t>
        </is>
      </c>
      <c r="F342" s="0" t="inlineStr">
        <is>
          <t>Lualaba</t>
        </is>
      </c>
      <c r="G342" s="0" t="inlineStr">
        <is>
          <t>Fungurume</t>
        </is>
      </c>
      <c r="H342" s="0" t="n">
        <v>-10.62</v>
      </c>
      <c r="I342" s="0" t="n">
        <v>26.3</v>
      </c>
      <c r="J342" s="0" t="inlineStr">
        <is>
          <t>operating</t>
        </is>
      </c>
      <c r="K342" s="0" t="inlineStr">
        <is>
          <t>Copper</t>
        </is>
      </c>
      <c r="O342" s="0" t="inlineStr">
        <is>
          <t>TFM/KFM per-mine Cu split NOT disclosed (CMOC group Cu disclosed at company level; see CME)</t>
        </is>
      </c>
      <c r="P342" s="0" t="b">
        <v>0</v>
      </c>
      <c r="Q342" s="0" t="inlineStr">
        <is>
          <t>refined</t>
        </is>
      </c>
      <c r="R342" s="0" t="inlineStr">
        <is>
          <t>7403.11</t>
        </is>
      </c>
      <c r="S342" s="0" t="inlineStr">
        <is>
          <t>operator</t>
        </is>
      </c>
      <c r="T342" s="0" t="n">
        <v>0.8</v>
      </c>
      <c r="U342" s="0" t="inlineStr">
        <is>
          <t>https://www.hkexnews.hk/listedco/listconews/sehk/2026/0327/2026032703784.pdf</t>
        </is>
      </c>
      <c r="V342" s="0" t="inlineStr">
        <is>
          <t>CO-PRODUCT ROW added 2026-07-10. TFM is a top-tier DRC Cu producer (cathode + hydroxide); Cu presence was invisible - row gives DRC-Cu stage/country presence for events even without tonnage. [CMOC AR 2025; split undisclosed]</t>
        </is>
      </c>
      <c r="X342" s="0" t="inlineStr">
        <is>
          <t>open_pit</t>
        </is>
      </c>
      <c r="AA342" s="0" t="inlineStr">
        <is>
          <t>Cobalt hydroxide intermediate -&gt; Li-ion cathodes (via Chinese refiners + CATL framework), superalloys, catalysts; copper cathode/concentrate -&gt; electrical uses. [Commodity-level]</t>
        </is>
      </c>
    </row>
    <row r="343" ht="15.75" customHeight="1" s="74">
      <c r="A343" s="0" t="inlineStr">
        <is>
          <t>CMOC Group Limited</t>
        </is>
      </c>
      <c r="B343" s="0" t="inlineStr">
        <is>
          <t>CN</t>
        </is>
      </c>
      <c r="C343" s="0" t="inlineStr">
        <is>
          <t>Kisanfu Copper-Cobalt Mine (KFM)</t>
        </is>
      </c>
      <c r="D343" s="0" t="inlineStr">
        <is>
          <t>mine</t>
        </is>
      </c>
      <c r="E343" s="0" t="inlineStr">
        <is>
          <t>CD</t>
        </is>
      </c>
      <c r="F343" s="0" t="inlineStr">
        <is>
          <t>Lualaba</t>
        </is>
      </c>
      <c r="G343" s="0" t="inlineStr">
        <is>
          <t>Kisanfu</t>
        </is>
      </c>
      <c r="H343" s="0" t="n">
        <v>-10.78</v>
      </c>
      <c r="I343" s="0" t="n">
        <v>25.65</v>
      </c>
      <c r="J343" s="0" t="inlineStr">
        <is>
          <t>operating</t>
        </is>
      </c>
      <c r="K343" s="0" t="inlineStr">
        <is>
          <t>Copper</t>
        </is>
      </c>
      <c r="O343" s="0" t="inlineStr">
        <is>
          <t>per-mine Cu split NOT disclosed</t>
        </is>
      </c>
      <c r="P343" s="0" t="b">
        <v>0</v>
      </c>
      <c r="Q343" s="0" t="inlineStr">
        <is>
          <t>refined</t>
        </is>
      </c>
      <c r="R343" s="0" t="inlineStr">
        <is>
          <t>7403.11</t>
        </is>
      </c>
      <c r="S343" s="0" t="inlineStr">
        <is>
          <t>operator</t>
        </is>
      </c>
      <c r="T343" s="0" t="n">
        <v>0.75</v>
      </c>
      <c r="U343" s="0" t="inlineStr">
        <is>
          <t>https://www.hkexnews.hk/listedco/listconews/sehk/2026/0327/2026032703784.pdf</t>
        </is>
      </c>
      <c r="V343" s="0" t="inlineStr">
        <is>
          <t>CO-PRODUCT ROW added 2026-07-10. KFM Cu-Co; same rationale as TFM row. [CMOC AR 2025]</t>
        </is>
      </c>
      <c r="X343" s="0" t="inlineStr">
        <is>
          <t>open_pit</t>
        </is>
      </c>
      <c r="AA343" s="0" t="inlineStr">
        <is>
          <t>Cobalt hydroxide -&gt; Li-ion NCM cathodes (CATL equity + framework offtake); copper. [Commodity-level]</t>
        </is>
      </c>
    </row>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dataValidations count="13">
    <dataValidation sqref="Q91:Q95 Q97:Q203" showDropDown="0" showInputMessage="0" showErrorMessage="0" allowBlank="1" type="list">
      <formula1>"ore,concentrate,intermediate,refined,battery_grade,fabricated,scrap"</formula1>
    </dataValidation>
    <dataValidation sqref="D2:D90" showDropDown="0" showInputMessage="0" showErrorMessage="0" allowBlank="1" type="list">
      <formula1>"mine,refinery,smelter,concentrator,processing,recycling,cell_factory,pack_plant,r_and_d,hq,other"</formula1>
    </dataValidation>
    <dataValidation sqref="J2:J90" showDropDown="0" showInputMessage="0" showErrorMessage="0" allowBlank="1" type="list">
      <formula1>"operating,planned,under_construction,mothballed,closed,care_maintenance"</formula1>
    </dataValidation>
    <dataValidation sqref="J91:J95 J97:J203" showDropDown="0" showInputMessage="0" showErrorMessage="0" allowBlank="1" type="list">
      <formula1>"operating,planned,under_construction,mothballed,closed,care_maintenance"</formula1>
    </dataValidation>
    <dataValidation sqref="S91:S95 S97:S203" showDropDown="0" showInputMessage="0" showErrorMessage="0" allowBlank="1" type="list">
      <formula1>"operator,jv_partner,lessee,minority_stake,other,majority_owner"</formula1>
    </dataValidation>
    <dataValidation sqref="P91:P95 P97:P203" showDropDown="0" showInputMessage="0" showErrorMessage="0" allowBlank="1" type="list">
      <formula1>"TRUE,FALSE"</formula1>
    </dataValidation>
    <dataValidation sqref="P2:P90" showDropDown="0" showInputMessage="0" showErrorMessage="0" allowBlank="1" type="list">
      <formula1>"TRUE,FALSE"</formula1>
    </dataValidation>
    <dataValidation sqref="Q2:Q90" showDropDown="0" showInputMessage="0" showErrorMessage="0" allowBlank="1" type="list">
      <formula1>"ore,concentrate,intermediate,refined,battery_grade,fabricated,scrap"</formula1>
    </dataValidation>
    <dataValidation sqref="S2:S90" showDropDown="0" showInputMessage="0" showErrorMessage="0" allowBlank="1" type="list">
      <formula1>"operator,jv_partner,lessee,minority_stake,other,majority_owner"</formula1>
    </dataValidation>
    <dataValidation sqref="M2:M90 O2:O90" showDropDown="0" showInputMessage="0" showErrorMessage="0" allowBlank="1" type="list">
      <formula1>"t/yr,kt/yr,mt/yr,lb/yr,GWh/yr,other"</formula1>
    </dataValidation>
    <dataValidation sqref="M91:M92 O91:O95 O97:O203" showDropDown="0" showInputMessage="0" showErrorMessage="0" allowBlank="1" type="list">
      <formula1>"t/yr,kt/yr,mt/yr,lb/yr,GWh/yr,other"</formula1>
    </dataValidation>
    <dataValidation sqref="H2:I90 N2:N90 T2:T90" showDropDown="1" showInputMessage="0" showErrorMessage="0" allowBlank="1" type="custom">
      <formula1>AND(ISNUMBER(H2),(NOT(OR(NOT(ISERROR(DATEVALUE(H2))), AND(ISNUMBER(H2), LEFT(CELL("format", H2))="D")))))</formula1>
    </dataValidation>
    <dataValidation sqref="D91:D95 D97:D203" showDropDown="0" showInputMessage="0" showErrorMessage="0" allowBlank="1" type="list">
      <formula1>"mine,refinery,smelter,concentrator,processing,recycling,cell_factory,pack_plant,r_and_d,hq,other"</formula1>
    </dataValidation>
  </dataValidations>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V60" r:id="rId30"/>
  </hyperlinks>
  <pageMargins left="0.75" right="0.75" top="1" bottom="1" header="0" footer="0"/>
  <pageSetup orientation="portrait" paperSize="9"/>
  <tableParts count="1">
    <tablePart xmlns:r="http://schemas.openxmlformats.org/officeDocument/2006/relationships" r:id="rId31"/>
  </tableParts>
</worksheet>
</file>

<file path=xl/worksheets/sheet2.xml><?xml version="1.0" encoding="utf-8"?>
<worksheet xmlns="http://schemas.openxmlformats.org/spreadsheetml/2006/main">
  <sheetPr>
    <outlinePr summaryBelow="1" summaryRight="1"/>
    <pageSetUpPr/>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8" customWidth="1" style="74" min="1" max="1"/>
    <col width="18" customWidth="1" style="74" min="2" max="2"/>
    <col width="11" customWidth="1" style="74" min="3" max="3"/>
    <col width="12" customWidth="1" style="74" min="4" max="4"/>
    <col width="13" customWidth="1" style="74" min="5" max="6"/>
    <col width="11" customWidth="1" style="74" min="7" max="7"/>
    <col width="12" customWidth="1" style="74" min="8" max="9"/>
    <col width="14" customWidth="1" style="74" min="10" max="10"/>
    <col width="13" customWidth="1" style="74" min="11" max="11"/>
    <col width="14" customWidth="1" style="74" min="12" max="12"/>
    <col width="60" customWidth="1" style="74" min="13" max="13"/>
  </cols>
  <sheetData>
    <row r="1" ht="45.75" customHeight="1" s="74">
      <c r="A1" s="58" t="inlineStr">
        <is>
          <t>Material</t>
        </is>
      </c>
      <c r="B1" s="58" t="inlineStr">
        <is>
          <t>Category</t>
        </is>
      </c>
      <c r="C1" s="58" t="inlineStr">
        <is>
          <t>Signal Rows</t>
        </is>
      </c>
      <c r="D1" s="58" t="inlineStr">
        <is>
          <t>HS Mappings</t>
        </is>
      </c>
      <c r="E1" s="58" t="inlineStr">
        <is>
          <t>Material Production Shares</t>
        </is>
      </c>
      <c r="F1" s="58" t="inlineStr">
        <is>
          <t>HS-Node Production Shares</t>
        </is>
      </c>
      <c r="G1" s="58" t="inlineStr">
        <is>
          <t>Risk Events</t>
        </is>
      </c>
      <c r="H1" s="58" t="inlineStr">
        <is>
          <t>Facilities</t>
        </is>
      </c>
      <c r="I1" s="58" t="inlineStr">
        <is>
          <t>IRA Critical</t>
        </is>
      </c>
      <c r="J1" s="58" t="inlineStr">
        <is>
          <t>EU CRMA Critical</t>
        </is>
      </c>
      <c r="K1" s="58" t="inlineStr">
        <is>
          <t>Recommended Tier</t>
        </is>
      </c>
      <c r="L1" s="58" t="inlineStr">
        <is>
          <t>Partner Priority</t>
        </is>
      </c>
      <c r="M1" s="58" t="inlineStr">
        <is>
          <t>Notes</t>
        </is>
      </c>
      <c r="N1" s="2" t="n"/>
      <c r="O1" s="2" t="n"/>
      <c r="P1" s="2" t="n"/>
      <c r="Q1" s="2" t="n"/>
      <c r="R1" s="2" t="n"/>
      <c r="S1" s="2" t="n"/>
      <c r="T1" s="2" t="n"/>
      <c r="U1" s="2" t="n"/>
      <c r="V1" s="2" t="n"/>
      <c r="W1" s="2" t="n"/>
      <c r="X1" s="2" t="n"/>
      <c r="Y1" s="2" t="n"/>
      <c r="Z1" s="2" t="n"/>
    </row>
    <row r="2">
      <c r="A2" s="59" t="inlineStr">
        <is>
          <t>Lithium</t>
        </is>
      </c>
      <c r="B2" s="59" t="inlineStr">
        <is>
          <t>cathode_active</t>
        </is>
      </c>
      <c r="C2" s="60" t="n">
        <v>1</v>
      </c>
      <c r="D2" s="60" t="n">
        <v>9</v>
      </c>
      <c r="E2" s="60" t="n">
        <v>9</v>
      </c>
      <c r="F2" s="60" t="n">
        <v>2</v>
      </c>
      <c r="G2" s="60" t="n">
        <v>458</v>
      </c>
      <c r="H2" s="60" t="n">
        <v>26</v>
      </c>
      <c r="I2" s="59" t="inlineStr">
        <is>
          <t>Y</t>
        </is>
      </c>
      <c r="J2" s="59" t="inlineStr">
        <is>
          <t>Y</t>
        </is>
      </c>
      <c r="K2" s="61" t="n">
        <v>1</v>
      </c>
      <c r="L2" s="59" t="n"/>
      <c r="M2" s="59" t="inlineStr">
        <is>
          <t>Must-have. Light on facilities for refining narrative.</t>
        </is>
      </c>
      <c r="N2" s="2" t="n"/>
      <c r="O2" s="2" t="n"/>
      <c r="P2" s="2" t="n"/>
      <c r="Q2" s="2" t="n"/>
      <c r="R2" s="2" t="n"/>
      <c r="S2" s="2" t="n"/>
      <c r="T2" s="2" t="n"/>
      <c r="U2" s="2" t="n"/>
      <c r="V2" s="2" t="n"/>
      <c r="W2" s="2" t="n"/>
      <c r="X2" s="2" t="n"/>
      <c r="Y2" s="2" t="n"/>
      <c r="Z2" s="2" t="n"/>
    </row>
    <row r="3">
      <c r="A3" s="59" t="inlineStr">
        <is>
          <t>Cobalt</t>
        </is>
      </c>
      <c r="B3" s="59" t="inlineStr">
        <is>
          <t>cathode_active</t>
        </is>
      </c>
      <c r="C3" s="60" t="n">
        <v>1</v>
      </c>
      <c r="D3" s="60" t="n">
        <v>24</v>
      </c>
      <c r="E3" s="60" t="n">
        <v>12</v>
      </c>
      <c r="F3" s="60" t="n">
        <v>4</v>
      </c>
      <c r="G3" s="60" t="n">
        <v>451</v>
      </c>
      <c r="H3" s="60" t="n">
        <v>74</v>
      </c>
      <c r="I3" s="59" t="inlineStr">
        <is>
          <t>Y</t>
        </is>
      </c>
      <c r="J3" s="59" t="inlineStr">
        <is>
          <t>Y</t>
        </is>
      </c>
      <c r="K3" s="61" t="n">
        <v>1</v>
      </c>
      <c r="L3" s="59" t="n"/>
      <c r="M3" s="59" t="inlineStr">
        <is>
          <t>Must-have. Strong all around.</t>
        </is>
      </c>
      <c r="N3" s="2" t="n"/>
      <c r="O3" s="2" t="n"/>
      <c r="P3" s="2" t="n"/>
      <c r="Q3" s="2" t="n"/>
      <c r="R3" s="2" t="n"/>
      <c r="S3" s="2" t="n"/>
      <c r="T3" s="2" t="n"/>
      <c r="U3" s="2" t="n"/>
      <c r="V3" s="2" t="n"/>
      <c r="W3" s="2" t="n"/>
      <c r="X3" s="2" t="n"/>
      <c r="Y3" s="2" t="n"/>
      <c r="Z3" s="2" t="n"/>
    </row>
    <row r="4">
      <c r="A4" s="59" t="inlineStr">
        <is>
          <t>Nickel</t>
        </is>
      </c>
      <c r="B4" s="59" t="inlineStr">
        <is>
          <t>cathode_active</t>
        </is>
      </c>
      <c r="C4" s="60" t="n">
        <v>1</v>
      </c>
      <c r="D4" s="60" t="n">
        <v>16</v>
      </c>
      <c r="E4" s="60" t="n">
        <v>9</v>
      </c>
      <c r="F4" s="60" t="n">
        <v>7</v>
      </c>
      <c r="G4" s="60" t="n">
        <v>409</v>
      </c>
      <c r="H4" s="60" t="n">
        <v>135</v>
      </c>
      <c r="I4" s="59" t="inlineStr">
        <is>
          <t>Y</t>
        </is>
      </c>
      <c r="J4" s="59" t="inlineStr">
        <is>
          <t>Y</t>
        </is>
      </c>
      <c r="K4" s="61" t="n">
        <v>1</v>
      </c>
      <c r="L4" s="59" t="n"/>
      <c r="M4" s="59" t="inlineStr">
        <is>
          <t>Must-have. Strong.</t>
        </is>
      </c>
      <c r="N4" s="2" t="n"/>
      <c r="O4" s="2" t="n"/>
      <c r="P4" s="2" t="n"/>
      <c r="Q4" s="2" t="n"/>
      <c r="R4" s="2" t="n"/>
      <c r="S4" s="2" t="n"/>
      <c r="T4" s="2" t="n"/>
      <c r="U4" s="2" t="n"/>
      <c r="V4" s="2" t="n"/>
      <c r="W4" s="2" t="n"/>
      <c r="X4" s="2" t="n"/>
      <c r="Y4" s="2" t="n"/>
      <c r="Z4" s="2" t="n"/>
    </row>
    <row r="5">
      <c r="A5" s="59" t="inlineStr">
        <is>
          <t>Rare Earth Elements</t>
        </is>
      </c>
      <c r="B5" s="59" t="inlineStr">
        <is>
          <t>component</t>
        </is>
      </c>
      <c r="C5" s="60" t="n">
        <v>1</v>
      </c>
      <c r="D5" s="60" t="n">
        <v>13</v>
      </c>
      <c r="E5" s="60" t="n">
        <v>12</v>
      </c>
      <c r="F5" s="60" t="n">
        <v>3</v>
      </c>
      <c r="G5" s="60" t="n">
        <v>381</v>
      </c>
      <c r="H5" s="60" t="n">
        <v>66</v>
      </c>
      <c r="I5" s="59" t="inlineStr">
        <is>
          <t>Y</t>
        </is>
      </c>
      <c r="J5" s="59" t="inlineStr">
        <is>
          <t>Y</t>
        </is>
      </c>
      <c r="K5" s="61" t="n">
        <v>1</v>
      </c>
      <c r="L5" s="59" t="n"/>
      <c r="M5" s="59" t="inlineStr">
        <is>
          <t>Must-have. Strong.</t>
        </is>
      </c>
      <c r="N5" s="2" t="n"/>
      <c r="O5" s="2" t="n"/>
      <c r="P5" s="2" t="n"/>
      <c r="Q5" s="2" t="n"/>
      <c r="R5" s="2" t="n"/>
      <c r="S5" s="2" t="n"/>
      <c r="T5" s="2" t="n"/>
      <c r="U5" s="2" t="n"/>
      <c r="V5" s="2" t="n"/>
      <c r="W5" s="2" t="n"/>
      <c r="X5" s="2" t="n"/>
      <c r="Y5" s="2" t="n"/>
      <c r="Z5" s="2" t="n"/>
    </row>
    <row r="6">
      <c r="A6" s="59" t="inlineStr">
        <is>
          <t>Silicon (Anode Grade)</t>
        </is>
      </c>
      <c r="B6" s="59" t="inlineStr">
        <is>
          <t>anode_active</t>
        </is>
      </c>
      <c r="C6" s="60" t="n">
        <v>1</v>
      </c>
      <c r="D6" s="60" t="n">
        <v>15</v>
      </c>
      <c r="E6" s="60" t="n">
        <v>14</v>
      </c>
      <c r="F6" s="60" t="n">
        <v>36</v>
      </c>
      <c r="G6" s="60" t="n">
        <v>370</v>
      </c>
      <c r="H6" s="62" t="n">
        <v>0</v>
      </c>
      <c r="I6" s="59" t="inlineStr">
        <is>
          <t>Y</t>
        </is>
      </c>
      <c r="J6" s="59" t="inlineStr">
        <is>
          <t>N</t>
        </is>
      </c>
      <c r="K6" s="63" t="n">
        <v>3</v>
      </c>
      <c r="L6" s="59" t="n"/>
      <c r="M6" s="59" t="inlineStr">
        <is>
          <t>Anode story but ZERO facilities — defer or seed first.</t>
        </is>
      </c>
      <c r="N6" s="2" t="n"/>
      <c r="O6" s="2" t="n"/>
      <c r="P6" s="2" t="n"/>
      <c r="Q6" s="2" t="n"/>
      <c r="R6" s="2" t="n"/>
      <c r="S6" s="2" t="n"/>
      <c r="T6" s="2" t="n"/>
      <c r="U6" s="2" t="n"/>
      <c r="V6" s="2" t="n"/>
      <c r="W6" s="2" t="n"/>
      <c r="X6" s="2" t="n"/>
      <c r="Y6" s="2" t="n"/>
      <c r="Z6" s="2" t="n"/>
    </row>
    <row r="7">
      <c r="A7" s="59" t="inlineStr">
        <is>
          <t>Tungsten</t>
        </is>
      </c>
      <c r="B7" s="59" t="inlineStr">
        <is>
          <t>component</t>
        </is>
      </c>
      <c r="C7" s="60" t="n">
        <v>1</v>
      </c>
      <c r="D7" s="60" t="n">
        <v>11</v>
      </c>
      <c r="E7" s="60" t="n">
        <v>10</v>
      </c>
      <c r="F7" s="60" t="n">
        <v>4</v>
      </c>
      <c r="G7" s="60" t="n">
        <v>356</v>
      </c>
      <c r="H7" s="60" t="n">
        <v>336</v>
      </c>
      <c r="I7" s="59" t="inlineStr">
        <is>
          <t>Y</t>
        </is>
      </c>
      <c r="J7" s="59" t="inlineStr">
        <is>
          <t>Y</t>
        </is>
      </c>
      <c r="K7" s="64" t="n">
        <v>2</v>
      </c>
      <c r="L7" s="59" t="n"/>
      <c r="M7" s="59" t="inlineStr">
        <is>
          <t>Recommended add: defense angle, strong facility coverage.</t>
        </is>
      </c>
      <c r="N7" s="2" t="n"/>
      <c r="O7" s="2" t="n"/>
      <c r="P7" s="2" t="n"/>
      <c r="Q7" s="2" t="n"/>
      <c r="R7" s="2" t="n"/>
      <c r="S7" s="2" t="n"/>
      <c r="T7" s="2" t="n"/>
      <c r="U7" s="2" t="n"/>
      <c r="V7" s="2" t="n"/>
      <c r="W7" s="2" t="n"/>
      <c r="X7" s="2" t="n"/>
      <c r="Y7" s="2" t="n"/>
      <c r="Z7" s="2" t="n"/>
    </row>
    <row r="8">
      <c r="A8" s="59" t="inlineStr">
        <is>
          <t>Magnesium</t>
        </is>
      </c>
      <c r="B8" s="59" t="inlineStr">
        <is>
          <t>structural</t>
        </is>
      </c>
      <c r="C8" s="60" t="n">
        <v>1</v>
      </c>
      <c r="D8" s="60" t="n">
        <v>19</v>
      </c>
      <c r="E8" s="60" t="n">
        <v>6</v>
      </c>
      <c r="F8" s="60" t="n">
        <v>15</v>
      </c>
      <c r="G8" s="60" t="n">
        <v>355</v>
      </c>
      <c r="H8" s="60" t="n">
        <v>138</v>
      </c>
      <c r="I8" s="59" t="inlineStr">
        <is>
          <t>Y</t>
        </is>
      </c>
      <c r="J8" s="59" t="inlineStr">
        <is>
          <t>Y</t>
        </is>
      </c>
      <c r="K8" s="64" t="n">
        <v>2</v>
      </c>
      <c r="L8" s="59" t="n"/>
      <c r="M8" s="59" t="inlineStr">
        <is>
          <t>Strong, structural.</t>
        </is>
      </c>
      <c r="N8" s="2" t="n"/>
      <c r="O8" s="2" t="n"/>
      <c r="P8" s="2" t="n"/>
      <c r="Q8" s="2" t="n"/>
      <c r="R8" s="2" t="n"/>
      <c r="S8" s="2" t="n"/>
      <c r="T8" s="2" t="n"/>
      <c r="U8" s="2" t="n"/>
      <c r="V8" s="2" t="n"/>
      <c r="W8" s="2" t="n"/>
      <c r="X8" s="2" t="n"/>
      <c r="Y8" s="2" t="n"/>
      <c r="Z8" s="2" t="n"/>
    </row>
    <row r="9">
      <c r="A9" s="59" t="inlineStr">
        <is>
          <t>Manganese</t>
        </is>
      </c>
      <c r="B9" s="59" t="inlineStr">
        <is>
          <t>cathode_active</t>
        </is>
      </c>
      <c r="C9" s="60" t="n">
        <v>1</v>
      </c>
      <c r="D9" s="60" t="n">
        <v>20</v>
      </c>
      <c r="E9" s="60" t="n">
        <v>7</v>
      </c>
      <c r="F9" s="60" t="n">
        <v>14</v>
      </c>
      <c r="G9" s="60" t="n">
        <v>351</v>
      </c>
      <c r="H9" s="60" t="n">
        <v>400</v>
      </c>
      <c r="I9" s="59" t="inlineStr">
        <is>
          <t>Y</t>
        </is>
      </c>
      <c r="J9" s="59" t="inlineStr">
        <is>
          <t>Y</t>
        </is>
      </c>
      <c r="K9" s="61" t="n">
        <v>1</v>
      </c>
      <c r="L9" s="59" t="n"/>
      <c r="M9" s="59" t="inlineStr">
        <is>
          <t>Recommended add: cathode-relevant, 400 facilities.</t>
        </is>
      </c>
      <c r="N9" s="2" t="n"/>
      <c r="O9" s="2" t="n"/>
      <c r="P9" s="2" t="n"/>
      <c r="Q9" s="2" t="n"/>
      <c r="R9" s="2" t="n"/>
      <c r="S9" s="2" t="n"/>
      <c r="T9" s="2" t="n"/>
      <c r="U9" s="2" t="n"/>
      <c r="V9" s="2" t="n"/>
      <c r="W9" s="2" t="n"/>
      <c r="X9" s="2" t="n"/>
      <c r="Y9" s="2" t="n"/>
      <c r="Z9" s="2" t="n"/>
    </row>
    <row r="10">
      <c r="A10" s="59" t="inlineStr">
        <is>
          <t>Aluminum</t>
        </is>
      </c>
      <c r="B10" s="59" t="inlineStr">
        <is>
          <t>structural</t>
        </is>
      </c>
      <c r="C10" s="60" t="n">
        <v>1</v>
      </c>
      <c r="D10" s="60" t="n">
        <v>14</v>
      </c>
      <c r="E10" s="60" t="n">
        <v>12</v>
      </c>
      <c r="F10" s="60" t="n">
        <v>31</v>
      </c>
      <c r="G10" s="60" t="n">
        <v>343</v>
      </c>
      <c r="H10" s="60" t="n">
        <v>239</v>
      </c>
      <c r="I10" s="59" t="inlineStr">
        <is>
          <t>Y</t>
        </is>
      </c>
      <c r="J10" s="59" t="inlineStr">
        <is>
          <t>Y</t>
        </is>
      </c>
      <c r="K10" s="61" t="n">
        <v>1</v>
      </c>
      <c r="L10" s="59" t="n"/>
      <c r="M10" s="59" t="inlineStr">
        <is>
          <t>Recommended add: strong, structural.</t>
        </is>
      </c>
      <c r="N10" s="2" t="n"/>
      <c r="O10" s="2" t="n"/>
      <c r="P10" s="2" t="n"/>
      <c r="Q10" s="2" t="n"/>
      <c r="R10" s="2" t="n"/>
      <c r="S10" s="2" t="n"/>
      <c r="T10" s="2" t="n"/>
      <c r="U10" s="2" t="n"/>
      <c r="V10" s="2" t="n"/>
      <c r="W10" s="2" t="n"/>
      <c r="X10" s="2" t="n"/>
      <c r="Y10" s="2" t="n"/>
      <c r="Z10" s="2" t="n"/>
    </row>
    <row r="11">
      <c r="A11" s="59" t="inlineStr">
        <is>
          <t>Chromium</t>
        </is>
      </c>
      <c r="B11" s="59" t="inlineStr">
        <is>
          <t>component</t>
        </is>
      </c>
      <c r="C11" s="60" t="n">
        <v>1</v>
      </c>
      <c r="D11" s="60" t="n">
        <v>24</v>
      </c>
      <c r="E11" s="60" t="n">
        <v>7</v>
      </c>
      <c r="F11" s="60" t="n">
        <v>23</v>
      </c>
      <c r="G11" s="60" t="n">
        <v>311</v>
      </c>
      <c r="H11" s="60" t="n">
        <v>348</v>
      </c>
      <c r="I11" s="59" t="inlineStr">
        <is>
          <t>Y</t>
        </is>
      </c>
      <c r="J11" s="59" t="inlineStr">
        <is>
          <t>Y</t>
        </is>
      </c>
      <c r="K11" s="64" t="n">
        <v>2</v>
      </c>
      <c r="L11" s="59" t="n"/>
      <c r="M11" s="59" t="inlineStr">
        <is>
          <t>Strong.</t>
        </is>
      </c>
      <c r="N11" s="2" t="n"/>
      <c r="O11" s="2" t="n"/>
      <c r="P11" s="2" t="n"/>
      <c r="Q11" s="2" t="n"/>
      <c r="R11" s="2" t="n"/>
      <c r="S11" s="2" t="n"/>
      <c r="T11" s="2" t="n"/>
      <c r="U11" s="2" t="n"/>
      <c r="V11" s="2" t="n"/>
      <c r="W11" s="2" t="n"/>
      <c r="X11" s="2" t="n"/>
      <c r="Y11" s="2" t="n"/>
      <c r="Z11" s="2" t="n"/>
    </row>
    <row r="12">
      <c r="A12" s="59" t="inlineStr">
        <is>
          <t>Copper</t>
        </is>
      </c>
      <c r="B12" s="59" t="inlineStr">
        <is>
          <t>current_collector</t>
        </is>
      </c>
      <c r="C12" s="60" t="n">
        <v>1</v>
      </c>
      <c r="D12" s="60" t="n">
        <v>17</v>
      </c>
      <c r="E12" s="60" t="n">
        <v>17</v>
      </c>
      <c r="F12" s="60" t="n">
        <v>43</v>
      </c>
      <c r="G12" s="60" t="n">
        <v>270</v>
      </c>
      <c r="H12" s="60" t="n">
        <v>1016</v>
      </c>
      <c r="I12" s="59" t="inlineStr">
        <is>
          <t>Y</t>
        </is>
      </c>
      <c r="J12" s="59" t="inlineStr">
        <is>
          <t>Y</t>
        </is>
      </c>
      <c r="K12" s="61" t="n">
        <v>1</v>
      </c>
      <c r="L12" s="59" t="n"/>
      <c r="M12" s="59" t="inlineStr">
        <is>
          <t>Must-have. Best facility coverage in DB.</t>
        </is>
      </c>
      <c r="N12" s="2" t="n"/>
      <c r="O12" s="2" t="n"/>
      <c r="P12" s="2" t="n"/>
      <c r="Q12" s="2" t="n"/>
      <c r="R12" s="2" t="n"/>
      <c r="S12" s="2" t="n"/>
      <c r="T12" s="2" t="n"/>
      <c r="U12" s="2" t="n"/>
      <c r="V12" s="2" t="n"/>
      <c r="W12" s="2" t="n"/>
      <c r="X12" s="2" t="n"/>
      <c r="Y12" s="2" t="n"/>
      <c r="Z12" s="2" t="n"/>
    </row>
    <row r="13">
      <c r="A13" s="59" t="inlineStr">
        <is>
          <t>Natural Graphite</t>
        </is>
      </c>
      <c r="B13" s="59" t="inlineStr">
        <is>
          <t>anode_active</t>
        </is>
      </c>
      <c r="C13" s="60" t="n">
        <v>1</v>
      </c>
      <c r="D13" s="60" t="n">
        <v>6</v>
      </c>
      <c r="E13" s="60" t="n">
        <v>17</v>
      </c>
      <c r="F13" s="60" t="n">
        <v>4</v>
      </c>
      <c r="G13" s="60" t="n">
        <v>212</v>
      </c>
      <c r="H13" s="60" t="n">
        <v>106</v>
      </c>
      <c r="I13" s="59" t="inlineStr">
        <is>
          <t>Y</t>
        </is>
      </c>
      <c r="J13" s="59" t="inlineStr">
        <is>
          <t>Y</t>
        </is>
      </c>
      <c r="K13" s="61" t="n">
        <v>1</v>
      </c>
      <c r="L13" s="59" t="n"/>
      <c r="M13" s="59" t="inlineStr">
        <is>
          <t>Must-have. OK coverage; 6 HS mappings is thinner side.</t>
        </is>
      </c>
      <c r="N13" s="2" t="n"/>
      <c r="O13" s="2" t="n"/>
      <c r="P13" s="2" t="n"/>
      <c r="Q13" s="2" t="n"/>
      <c r="R13" s="2" t="n"/>
      <c r="S13" s="2" t="n"/>
      <c r="T13" s="2" t="n"/>
      <c r="U13" s="2" t="n"/>
      <c r="V13" s="2" t="n"/>
      <c r="W13" s="2" t="n"/>
      <c r="X13" s="2" t="n"/>
      <c r="Y13" s="2" t="n"/>
      <c r="Z13" s="2" t="n"/>
    </row>
    <row r="14">
      <c r="A14" s="59" t="inlineStr">
        <is>
          <t>Iron Ore (LFP Grade)</t>
        </is>
      </c>
      <c r="B14" s="59" t="inlineStr">
        <is>
          <t>cathode_active</t>
        </is>
      </c>
      <c r="C14" s="60" t="n">
        <v>1</v>
      </c>
      <c r="D14" s="60" t="n">
        <v>11</v>
      </c>
      <c r="E14" s="60" t="n">
        <v>17</v>
      </c>
      <c r="F14" s="60" t="n">
        <v>4</v>
      </c>
      <c r="G14" s="60" t="n">
        <v>200</v>
      </c>
      <c r="H14" s="60" t="n">
        <v>756</v>
      </c>
      <c r="I14" s="59" t="inlineStr">
        <is>
          <t>N</t>
        </is>
      </c>
      <c r="J14" s="59" t="inlineStr">
        <is>
          <t>N</t>
        </is>
      </c>
      <c r="K14" s="64" t="n">
        <v>2</v>
      </c>
      <c r="L14" s="59" t="n"/>
      <c r="M14" s="59" t="inlineStr">
        <is>
          <t>LFP narrative; no IRA/CRMA critical-list flag.</t>
        </is>
      </c>
      <c r="N14" s="2" t="n"/>
      <c r="O14" s="2" t="n"/>
      <c r="P14" s="2" t="n"/>
      <c r="Q14" s="2" t="n"/>
      <c r="R14" s="2" t="n"/>
      <c r="S14" s="2" t="n"/>
      <c r="T14" s="2" t="n"/>
      <c r="U14" s="2" t="n"/>
      <c r="V14" s="2" t="n"/>
      <c r="W14" s="2" t="n"/>
      <c r="X14" s="2" t="n"/>
      <c r="Y14" s="2" t="n"/>
      <c r="Z14" s="2" t="n"/>
    </row>
    <row r="15">
      <c r="A15" s="59" t="inlineStr">
        <is>
          <t>Phosphate (Battery Grade)</t>
        </is>
      </c>
      <c r="B15" s="59" t="inlineStr">
        <is>
          <t>cathode_active</t>
        </is>
      </c>
      <c r="C15" s="60" t="n">
        <v>1</v>
      </c>
      <c r="D15" s="60" t="n">
        <v>7</v>
      </c>
      <c r="E15" s="60" t="n">
        <v>21</v>
      </c>
      <c r="F15" s="60" t="n">
        <v>1</v>
      </c>
      <c r="G15" s="60" t="n">
        <v>187</v>
      </c>
      <c r="H15" s="62" t="n">
        <v>0</v>
      </c>
      <c r="I15" s="59" t="inlineStr">
        <is>
          <t>N</t>
        </is>
      </c>
      <c r="J15" s="59" t="inlineStr">
        <is>
          <t>N</t>
        </is>
      </c>
      <c r="K15" s="61" t="n">
        <v>1</v>
      </c>
      <c r="L15" s="59" t="n"/>
      <c r="M15" s="59" t="inlineStr">
        <is>
          <t>Must-have BUT zero facilities — partner needs to seed.</t>
        </is>
      </c>
      <c r="N15" s="2" t="n"/>
      <c r="O15" s="2" t="n"/>
      <c r="P15" s="2" t="n"/>
      <c r="Q15" s="2" t="n"/>
      <c r="R15" s="2" t="n"/>
      <c r="S15" s="2" t="n"/>
      <c r="T15" s="2" t="n"/>
      <c r="U15" s="2" t="n"/>
      <c r="V15" s="2" t="n"/>
      <c r="W15" s="2" t="n"/>
      <c r="X15" s="2" t="n"/>
      <c r="Y15" s="2" t="n"/>
      <c r="Z15" s="2" t="n"/>
    </row>
    <row r="16">
      <c r="A16" s="59" t="inlineStr">
        <is>
          <t>Fluorspar</t>
        </is>
      </c>
      <c r="B16" s="59" t="inlineStr">
        <is>
          <t>electrolyte</t>
        </is>
      </c>
      <c r="C16" s="60" t="n">
        <v>1</v>
      </c>
      <c r="D16" s="60" t="n">
        <v>16</v>
      </c>
      <c r="E16" s="60" t="n">
        <v>12</v>
      </c>
      <c r="F16" s="60" t="n">
        <v>4</v>
      </c>
      <c r="G16" s="60" t="n">
        <v>325</v>
      </c>
      <c r="H16" s="60" t="n">
        <v>0</v>
      </c>
      <c r="I16" s="59" t="inlineStr">
        <is>
          <t>N</t>
        </is>
      </c>
      <c r="J16" s="59" t="inlineStr">
        <is>
          <t>Y</t>
        </is>
      </c>
      <c r="K16" s="63" t="n">
        <v>3</v>
      </c>
      <c r="L16" s="59" t="n"/>
      <c r="M16" s="59" t="inlineStr">
        <is>
          <t>Zero facilities.</t>
        </is>
      </c>
      <c r="N16" s="2" t="n"/>
      <c r="O16" s="2" t="n"/>
      <c r="P16" s="2" t="n"/>
      <c r="Q16" s="2" t="n"/>
      <c r="R16" s="2" t="n"/>
      <c r="S16" s="2" t="n"/>
      <c r="T16" s="2" t="n"/>
      <c r="U16" s="2" t="n"/>
      <c r="V16" s="2" t="n"/>
      <c r="W16" s="2" t="n"/>
      <c r="X16" s="2" t="n"/>
      <c r="Y16" s="2" t="n"/>
      <c r="Z16" s="2" t="n"/>
    </row>
    <row r="17">
      <c r="A17" s="59" t="inlineStr">
        <is>
          <t>Sodium</t>
        </is>
      </c>
      <c r="B17" s="59" t="inlineStr">
        <is>
          <t>cathode_active</t>
        </is>
      </c>
      <c r="C17" s="60" t="n">
        <v>1</v>
      </c>
      <c r="D17" s="60" t="n">
        <v>9</v>
      </c>
      <c r="E17" s="60" t="n">
        <v>4</v>
      </c>
      <c r="F17" s="60" t="n">
        <v>3</v>
      </c>
      <c r="G17" s="60" t="n">
        <v>321</v>
      </c>
      <c r="H17" s="60" t="n">
        <v>0</v>
      </c>
      <c r="I17" s="59" t="inlineStr">
        <is>
          <t>N</t>
        </is>
      </c>
      <c r="J17" s="59" t="inlineStr">
        <is>
          <t>N</t>
        </is>
      </c>
      <c r="K17" s="63" t="n">
        <v>3</v>
      </c>
      <c r="L17" s="59" t="n"/>
      <c r="M17" s="59" t="inlineStr">
        <is>
          <t>Na-ion narrative emerging.</t>
        </is>
      </c>
      <c r="N17" s="2" t="n"/>
      <c r="O17" s="2" t="n"/>
      <c r="P17" s="2" t="n"/>
      <c r="Q17" s="2" t="n"/>
      <c r="R17" s="2" t="n"/>
      <c r="S17" s="2" t="n"/>
      <c r="T17" s="2" t="n"/>
      <c r="U17" s="2" t="n"/>
      <c r="V17" s="2" t="n"/>
      <c r="W17" s="2" t="n"/>
      <c r="X17" s="2" t="n"/>
      <c r="Y17" s="2" t="n"/>
      <c r="Z17" s="2" t="n"/>
    </row>
    <row r="18">
      <c r="A18" s="59" t="inlineStr">
        <is>
          <t>Zirconium</t>
        </is>
      </c>
      <c r="B18" s="59" t="inlineStr">
        <is>
          <t>component</t>
        </is>
      </c>
      <c r="C18" s="60" t="n">
        <v>1</v>
      </c>
      <c r="D18" s="60" t="n">
        <v>27</v>
      </c>
      <c r="E18" s="60" t="n">
        <v>9</v>
      </c>
      <c r="F18" s="60" t="n">
        <v>19</v>
      </c>
      <c r="G18" s="60" t="n">
        <v>326</v>
      </c>
      <c r="H18" s="60" t="n">
        <v>39</v>
      </c>
      <c r="I18" s="59" t="inlineStr">
        <is>
          <t>Y</t>
        </is>
      </c>
      <c r="J18" s="59" t="inlineStr">
        <is>
          <t>Y</t>
        </is>
      </c>
      <c r="K18" s="63" t="n">
        <v>3</v>
      </c>
      <c r="L18" s="59" t="n"/>
      <c r="M18" s="59" t="inlineStr">
        <is>
          <t>Strong signals, mid facility coverage.</t>
        </is>
      </c>
      <c r="N18" s="2" t="n"/>
      <c r="O18" s="2" t="n"/>
      <c r="P18" s="2" t="n"/>
      <c r="Q18" s="2" t="n"/>
      <c r="R18" s="2" t="n"/>
      <c r="S18" s="2" t="n"/>
      <c r="T18" s="2" t="n"/>
      <c r="U18" s="2" t="n"/>
      <c r="V18" s="2" t="n"/>
      <c r="W18" s="2" t="n"/>
      <c r="X18" s="2" t="n"/>
      <c r="Y18" s="2" t="n"/>
      <c r="Z18" s="2" t="n"/>
    </row>
    <row r="19">
      <c r="A19" s="59" t="inlineStr">
        <is>
          <t>Tantalum</t>
        </is>
      </c>
      <c r="B19" s="59" t="inlineStr">
        <is>
          <t>component</t>
        </is>
      </c>
      <c r="C19" s="60" t="n">
        <v>1</v>
      </c>
      <c r="D19" s="60" t="n">
        <v>20</v>
      </c>
      <c r="E19" s="60" t="n">
        <v>9</v>
      </c>
      <c r="F19" s="60" t="n">
        <v>16</v>
      </c>
      <c r="G19" s="60" t="n">
        <v>297</v>
      </c>
      <c r="H19" s="60" t="n">
        <v>15</v>
      </c>
      <c r="I19" s="59" t="inlineStr">
        <is>
          <t>Y</t>
        </is>
      </c>
      <c r="J19" s="59" t="inlineStr">
        <is>
          <t>Y</t>
        </is>
      </c>
      <c r="K19" s="63" t="n">
        <v>3</v>
      </c>
      <c r="L19" s="59" t="n"/>
      <c r="M19" s="59" t="n"/>
      <c r="N19" s="2" t="n"/>
      <c r="O19" s="2" t="n"/>
      <c r="P19" s="2" t="n"/>
      <c r="Q19" s="2" t="n"/>
      <c r="R19" s="2" t="n"/>
      <c r="S19" s="2" t="n"/>
      <c r="T19" s="2" t="n"/>
      <c r="U19" s="2" t="n"/>
      <c r="V19" s="2" t="n"/>
      <c r="W19" s="2" t="n"/>
      <c r="X19" s="2" t="n"/>
      <c r="Y19" s="2" t="n"/>
      <c r="Z19" s="2" t="n"/>
    </row>
    <row r="20">
      <c r="A20" s="59" t="inlineStr">
        <is>
          <t>Germanium</t>
        </is>
      </c>
      <c r="B20" s="59" t="inlineStr">
        <is>
          <t>component</t>
        </is>
      </c>
      <c r="C20" s="60" t="n">
        <v>1</v>
      </c>
      <c r="D20" s="60" t="n">
        <v>11</v>
      </c>
      <c r="E20" s="60" t="n">
        <v>0</v>
      </c>
      <c r="F20" s="60" t="n">
        <v>7</v>
      </c>
      <c r="G20" s="60" t="n">
        <v>291</v>
      </c>
      <c r="H20" s="60" t="n">
        <v>1</v>
      </c>
      <c r="I20" s="59" t="inlineStr">
        <is>
          <t>Y</t>
        </is>
      </c>
      <c r="J20" s="59" t="inlineStr">
        <is>
          <t>Y</t>
        </is>
      </c>
      <c r="K20" s="63" t="n">
        <v>3</v>
      </c>
      <c r="L20" s="59" t="n"/>
      <c r="M20" s="59" t="n"/>
      <c r="N20" s="2" t="n"/>
      <c r="O20" s="2" t="n"/>
      <c r="P20" s="2" t="n"/>
      <c r="Q20" s="2" t="n"/>
      <c r="R20" s="2" t="n"/>
      <c r="S20" s="2" t="n"/>
      <c r="T20" s="2" t="n"/>
      <c r="U20" s="2" t="n"/>
      <c r="V20" s="2" t="n"/>
      <c r="W20" s="2" t="n"/>
      <c r="X20" s="2" t="n"/>
      <c r="Y20" s="2" t="n"/>
      <c r="Z20" s="2" t="n"/>
    </row>
    <row r="21" ht="15.75" customHeight="1" s="74">
      <c r="A21" s="59" t="inlineStr">
        <is>
          <t>Titanium</t>
        </is>
      </c>
      <c r="B21" s="59" t="inlineStr">
        <is>
          <t>anode_active</t>
        </is>
      </c>
      <c r="C21" s="60" t="n">
        <v>1</v>
      </c>
      <c r="D21" s="60" t="n">
        <v>21</v>
      </c>
      <c r="E21" s="60" t="n">
        <v>6</v>
      </c>
      <c r="F21" s="60" t="n">
        <v>7</v>
      </c>
      <c r="G21" s="60" t="n">
        <v>282</v>
      </c>
      <c r="H21" s="60" t="n">
        <v>57</v>
      </c>
      <c r="I21" s="59" t="inlineStr">
        <is>
          <t>Y</t>
        </is>
      </c>
      <c r="J21" s="59" t="inlineStr">
        <is>
          <t>Y</t>
        </is>
      </c>
      <c r="K21" s="63" t="n">
        <v>3</v>
      </c>
      <c r="L21" s="59" t="n"/>
      <c r="M21" s="59" t="n"/>
      <c r="N21" s="2" t="n"/>
      <c r="O21" s="2" t="n"/>
      <c r="P21" s="2" t="n"/>
      <c r="Q21" s="2" t="n"/>
      <c r="R21" s="2" t="n"/>
      <c r="S21" s="2" t="n"/>
      <c r="T21" s="2" t="n"/>
      <c r="U21" s="2" t="n"/>
      <c r="V21" s="2" t="n"/>
      <c r="W21" s="2" t="n"/>
      <c r="X21" s="2" t="n"/>
      <c r="Y21" s="2" t="n"/>
      <c r="Z21" s="2" t="n"/>
    </row>
    <row r="22" ht="15.75" customHeight="1" s="74">
      <c r="A22" s="59" t="inlineStr">
        <is>
          <t>Boron</t>
        </is>
      </c>
      <c r="B22" s="59" t="inlineStr">
        <is>
          <t>electrolyte</t>
        </is>
      </c>
      <c r="C22" s="60" t="n">
        <v>1</v>
      </c>
      <c r="D22" s="60" t="n">
        <v>13</v>
      </c>
      <c r="E22" s="60" t="n">
        <v>8</v>
      </c>
      <c r="F22" s="60" t="n">
        <v>2</v>
      </c>
      <c r="G22" s="60" t="n">
        <v>268</v>
      </c>
      <c r="H22" s="60" t="n">
        <v>0</v>
      </c>
      <c r="I22" s="59" t="inlineStr">
        <is>
          <t>N</t>
        </is>
      </c>
      <c r="J22" s="59" t="inlineStr">
        <is>
          <t>Y</t>
        </is>
      </c>
      <c r="K22" s="63" t="n">
        <v>3</v>
      </c>
      <c r="L22" s="59" t="n"/>
      <c r="M22" s="59" t="inlineStr">
        <is>
          <t>Zero facilities.</t>
        </is>
      </c>
      <c r="N22" s="2" t="n"/>
      <c r="O22" s="2" t="n"/>
      <c r="P22" s="2" t="n"/>
      <c r="Q22" s="2" t="n"/>
      <c r="R22" s="2" t="n"/>
      <c r="S22" s="2" t="n"/>
      <c r="T22" s="2" t="n"/>
      <c r="U22" s="2" t="n"/>
      <c r="V22" s="2" t="n"/>
      <c r="W22" s="2" t="n"/>
      <c r="X22" s="2" t="n"/>
      <c r="Y22" s="2" t="n"/>
      <c r="Z22" s="2" t="n"/>
    </row>
    <row r="23" ht="15.75" customHeight="1" s="74">
      <c r="A23" s="59" t="inlineStr">
        <is>
          <t>Silver</t>
        </is>
      </c>
      <c r="B23" s="59" t="inlineStr">
        <is>
          <t>component</t>
        </is>
      </c>
      <c r="C23" s="60" t="n">
        <v>1</v>
      </c>
      <c r="D23" s="60" t="n">
        <v>7</v>
      </c>
      <c r="E23" s="60" t="n">
        <v>14</v>
      </c>
      <c r="F23" s="60" t="n">
        <v>4</v>
      </c>
      <c r="G23" s="60" t="n">
        <v>268</v>
      </c>
      <c r="H23" s="60" t="n">
        <v>837</v>
      </c>
      <c r="I23" s="59" t="inlineStr">
        <is>
          <t>N</t>
        </is>
      </c>
      <c r="J23" s="59" t="inlineStr">
        <is>
          <t>N</t>
        </is>
      </c>
      <c r="K23" s="63" t="n">
        <v>3</v>
      </c>
      <c r="L23" s="59" t="n"/>
      <c r="M23" s="59" t="n"/>
      <c r="N23" s="2" t="n"/>
      <c r="O23" s="2" t="n"/>
      <c r="P23" s="2" t="n"/>
      <c r="Q23" s="2" t="n"/>
      <c r="R23" s="2" t="n"/>
      <c r="S23" s="2" t="n"/>
      <c r="T23" s="2" t="n"/>
      <c r="U23" s="2" t="n"/>
      <c r="V23" s="2" t="n"/>
      <c r="W23" s="2" t="n"/>
      <c r="X23" s="2" t="n"/>
      <c r="Y23" s="2" t="n"/>
      <c r="Z23" s="2" t="n"/>
    </row>
    <row r="24" ht="15.75" customHeight="1" s="74">
      <c r="A24" s="59" t="inlineStr">
        <is>
          <t>Vanadium</t>
        </is>
      </c>
      <c r="B24" s="59" t="inlineStr">
        <is>
          <t>component</t>
        </is>
      </c>
      <c r="C24" s="60" t="n">
        <v>1</v>
      </c>
      <c r="D24" s="60" t="n">
        <v>19</v>
      </c>
      <c r="E24" s="60" t="n">
        <v>4</v>
      </c>
      <c r="F24" s="60" t="n">
        <v>10</v>
      </c>
      <c r="G24" s="60" t="n">
        <v>266</v>
      </c>
      <c r="H24" s="60" t="n">
        <v>103</v>
      </c>
      <c r="I24" s="59" t="inlineStr">
        <is>
          <t>Y</t>
        </is>
      </c>
      <c r="J24" s="59" t="inlineStr">
        <is>
          <t>Y</t>
        </is>
      </c>
      <c r="K24" s="63" t="n">
        <v>3</v>
      </c>
      <c r="L24" s="59" t="n"/>
      <c r="M24" s="59" t="n"/>
      <c r="N24" s="2" t="n"/>
      <c r="O24" s="2" t="n"/>
      <c r="P24" s="2" t="n"/>
      <c r="Q24" s="2" t="n"/>
      <c r="R24" s="2" t="n"/>
      <c r="S24" s="2" t="n"/>
      <c r="T24" s="2" t="n"/>
      <c r="U24" s="2" t="n"/>
      <c r="V24" s="2" t="n"/>
      <c r="W24" s="2" t="n"/>
      <c r="X24" s="2" t="n"/>
      <c r="Y24" s="2" t="n"/>
      <c r="Z24" s="2" t="n"/>
    </row>
    <row r="25" ht="15.75" customHeight="1" s="74">
      <c r="A25" s="59" t="inlineStr">
        <is>
          <t>Tin</t>
        </is>
      </c>
      <c r="B25" s="59" t="inlineStr">
        <is>
          <t>component</t>
        </is>
      </c>
      <c r="C25" s="60" t="n">
        <v>1</v>
      </c>
      <c r="D25" s="60" t="n">
        <v>10</v>
      </c>
      <c r="E25" s="60" t="n">
        <v>13</v>
      </c>
      <c r="F25" s="60" t="n">
        <v>6</v>
      </c>
      <c r="G25" s="60" t="n">
        <v>259</v>
      </c>
      <c r="H25" s="60" t="n">
        <v>320</v>
      </c>
      <c r="I25" s="59" t="inlineStr">
        <is>
          <t>Y</t>
        </is>
      </c>
      <c r="J25" s="59" t="inlineStr">
        <is>
          <t>Y</t>
        </is>
      </c>
      <c r="K25" s="63" t="n">
        <v>3</v>
      </c>
      <c r="L25" s="59" t="n"/>
      <c r="M25" s="59" t="n"/>
      <c r="N25" s="2" t="n"/>
      <c r="O25" s="2" t="n"/>
      <c r="P25" s="2" t="n"/>
      <c r="Q25" s="2" t="n"/>
      <c r="R25" s="2" t="n"/>
      <c r="S25" s="2" t="n"/>
      <c r="T25" s="2" t="n"/>
      <c r="U25" s="2" t="n"/>
      <c r="V25" s="2" t="n"/>
      <c r="W25" s="2" t="n"/>
      <c r="X25" s="2" t="n"/>
      <c r="Y25" s="2" t="n"/>
      <c r="Z25" s="2" t="n"/>
    </row>
    <row r="26" ht="15.75" customHeight="1" s="74">
      <c r="A26" s="59" t="inlineStr">
        <is>
          <t>Gallium</t>
        </is>
      </c>
      <c r="B26" s="59" t="inlineStr">
        <is>
          <t>component</t>
        </is>
      </c>
      <c r="C26" s="60" t="n">
        <v>1</v>
      </c>
      <c r="D26" s="60" t="n">
        <v>4</v>
      </c>
      <c r="E26" s="60" t="n">
        <v>3</v>
      </c>
      <c r="F26" s="60" t="n">
        <v>4</v>
      </c>
      <c r="G26" s="60" t="n">
        <v>255</v>
      </c>
      <c r="H26" s="60" t="n">
        <v>3</v>
      </c>
      <c r="I26" s="59" t="inlineStr">
        <is>
          <t>Y</t>
        </is>
      </c>
      <c r="J26" s="59" t="inlineStr">
        <is>
          <t>Y</t>
        </is>
      </c>
      <c r="K26" s="63" t="n">
        <v>3</v>
      </c>
      <c r="L26" s="59" t="n"/>
      <c r="M26" s="59" t="n"/>
      <c r="N26" s="2" t="n"/>
      <c r="O26" s="2" t="n"/>
      <c r="P26" s="2" t="n"/>
      <c r="Q26" s="2" t="n"/>
      <c r="R26" s="2" t="n"/>
      <c r="S26" s="2" t="n"/>
      <c r="T26" s="2" t="n"/>
      <c r="U26" s="2" t="n"/>
      <c r="V26" s="2" t="n"/>
      <c r="W26" s="2" t="n"/>
      <c r="X26" s="2" t="n"/>
      <c r="Y26" s="2" t="n"/>
      <c r="Z26" s="2" t="n"/>
    </row>
    <row r="27" ht="15.75" customHeight="1" s="74">
      <c r="A27" s="59" t="inlineStr">
        <is>
          <t>Antimony</t>
        </is>
      </c>
      <c r="B27" s="59" t="inlineStr">
        <is>
          <t>component</t>
        </is>
      </c>
      <c r="C27" s="60" t="n">
        <v>1</v>
      </c>
      <c r="D27" s="60" t="n">
        <v>12</v>
      </c>
      <c r="E27" s="60" t="n">
        <v>14</v>
      </c>
      <c r="F27" s="60" t="n">
        <v>11</v>
      </c>
      <c r="G27" s="60" t="n">
        <v>240</v>
      </c>
      <c r="H27" s="60" t="n">
        <v>140</v>
      </c>
      <c r="I27" s="59" t="inlineStr">
        <is>
          <t>Y</t>
        </is>
      </c>
      <c r="J27" s="59" t="inlineStr">
        <is>
          <t>Y</t>
        </is>
      </c>
      <c r="K27" s="63" t="n">
        <v>3</v>
      </c>
      <c r="L27" s="59" t="n"/>
      <c r="M27" s="59" t="n"/>
      <c r="N27" s="2" t="n"/>
      <c r="O27" s="2" t="n"/>
      <c r="P27" s="2" t="n"/>
      <c r="Q27" s="2" t="n"/>
      <c r="R27" s="2" t="n"/>
      <c r="S27" s="2" t="n"/>
      <c r="T27" s="2" t="n"/>
      <c r="U27" s="2" t="n"/>
      <c r="V27" s="2" t="n"/>
      <c r="W27" s="2" t="n"/>
      <c r="X27" s="2" t="n"/>
      <c r="Y27" s="2" t="n"/>
      <c r="Z27" s="2" t="n"/>
    </row>
    <row r="28" ht="15.75" customHeight="1" s="74">
      <c r="A28" s="59" t="inlineStr">
        <is>
          <t>Rhenium</t>
        </is>
      </c>
      <c r="B28" s="59" t="inlineStr">
        <is>
          <t>component</t>
        </is>
      </c>
      <c r="C28" s="60" t="n">
        <v>1</v>
      </c>
      <c r="D28" s="60" t="n">
        <v>9</v>
      </c>
      <c r="E28" s="60" t="n">
        <v>8</v>
      </c>
      <c r="F28" s="60" t="n">
        <v>12</v>
      </c>
      <c r="G28" s="60" t="n">
        <v>210</v>
      </c>
      <c r="H28" s="60" t="n">
        <v>2</v>
      </c>
      <c r="I28" s="59" t="inlineStr">
        <is>
          <t>Y</t>
        </is>
      </c>
      <c r="J28" s="59" t="inlineStr">
        <is>
          <t>N</t>
        </is>
      </c>
      <c r="K28" s="63" t="n">
        <v>3</v>
      </c>
      <c r="L28" s="59" t="n"/>
      <c r="M28" s="59" t="n"/>
      <c r="N28" s="2" t="n"/>
      <c r="O28" s="2" t="n"/>
      <c r="P28" s="2" t="n"/>
      <c r="Q28" s="2" t="n"/>
      <c r="R28" s="2" t="n"/>
      <c r="S28" s="2" t="n"/>
      <c r="T28" s="2" t="n"/>
      <c r="U28" s="2" t="n"/>
      <c r="V28" s="2" t="n"/>
      <c r="W28" s="2" t="n"/>
      <c r="X28" s="2" t="n"/>
      <c r="Y28" s="2" t="n"/>
      <c r="Z28" s="2" t="n"/>
    </row>
    <row r="29" ht="15.75" customHeight="1" s="74">
      <c r="A29" s="59" t="inlineStr">
        <is>
          <t>Tellurium</t>
        </is>
      </c>
      <c r="B29" s="59" t="inlineStr">
        <is>
          <t>component</t>
        </is>
      </c>
      <c r="C29" s="60" t="n">
        <v>1</v>
      </c>
      <c r="D29" s="60" t="n">
        <v>3</v>
      </c>
      <c r="E29" s="60" t="n">
        <v>8</v>
      </c>
      <c r="F29" s="60" t="n">
        <v>4</v>
      </c>
      <c r="G29" s="60" t="n">
        <v>208</v>
      </c>
      <c r="H29" s="60" t="n">
        <v>5</v>
      </c>
      <c r="I29" s="59" t="inlineStr">
        <is>
          <t>N</t>
        </is>
      </c>
      <c r="J29" s="59" t="inlineStr">
        <is>
          <t>N</t>
        </is>
      </c>
      <c r="K29" s="63" t="n">
        <v>3</v>
      </c>
      <c r="L29" s="59" t="n"/>
      <c r="M29" s="59" t="n"/>
      <c r="N29" s="2" t="n"/>
      <c r="O29" s="2" t="n"/>
      <c r="P29" s="2" t="n"/>
      <c r="Q29" s="2" t="n"/>
      <c r="R29" s="2" t="n"/>
      <c r="S29" s="2" t="n"/>
      <c r="T29" s="2" t="n"/>
      <c r="U29" s="2" t="n"/>
      <c r="V29" s="2" t="n"/>
      <c r="W29" s="2" t="n"/>
      <c r="X29" s="2" t="n"/>
      <c r="Y29" s="2" t="n"/>
      <c r="Z29" s="2" t="n"/>
    </row>
    <row r="30" ht="15.75" customHeight="1" s="74">
      <c r="A30" s="59" t="inlineStr">
        <is>
          <t>Selenium</t>
        </is>
      </c>
      <c r="B30" s="59" t="inlineStr">
        <is>
          <t>component</t>
        </is>
      </c>
      <c r="C30" s="60" t="n">
        <v>1</v>
      </c>
      <c r="D30" s="60" t="n">
        <v>5</v>
      </c>
      <c r="E30" s="60" t="n">
        <v>15</v>
      </c>
      <c r="F30" s="60" t="n">
        <v>7</v>
      </c>
      <c r="G30" s="60" t="n">
        <v>205</v>
      </c>
      <c r="H30" s="60" t="n">
        <v>6</v>
      </c>
      <c r="I30" s="59" t="inlineStr">
        <is>
          <t>N</t>
        </is>
      </c>
      <c r="J30" s="59" t="inlineStr">
        <is>
          <t>N</t>
        </is>
      </c>
      <c r="K30" s="63" t="n">
        <v>3</v>
      </c>
      <c r="L30" s="59" t="n"/>
      <c r="M30" s="59" t="n"/>
      <c r="N30" s="2" t="n"/>
      <c r="O30" s="2" t="n"/>
      <c r="P30" s="2" t="n"/>
      <c r="Q30" s="2" t="n"/>
      <c r="R30" s="2" t="n"/>
      <c r="S30" s="2" t="n"/>
      <c r="T30" s="2" t="n"/>
      <c r="U30" s="2" t="n"/>
      <c r="V30" s="2" t="n"/>
      <c r="W30" s="2" t="n"/>
      <c r="X30" s="2" t="n"/>
      <c r="Y30" s="2" t="n"/>
      <c r="Z30" s="2" t="n"/>
    </row>
    <row r="31" ht="15.75" customHeight="1" s="74">
      <c r="A31" s="59" t="inlineStr">
        <is>
          <t>Platinum-Group Metals</t>
        </is>
      </c>
      <c r="B31" s="59" t="inlineStr">
        <is>
          <t>component</t>
        </is>
      </c>
      <c r="C31" s="60" t="n">
        <v>1</v>
      </c>
      <c r="D31" s="60" t="n">
        <v>2</v>
      </c>
      <c r="E31" s="60" t="n">
        <v>5</v>
      </c>
      <c r="F31" s="60" t="n">
        <v>5</v>
      </c>
      <c r="G31" s="60" t="n">
        <v>197</v>
      </c>
      <c r="H31" s="60" t="n">
        <v>157</v>
      </c>
      <c r="I31" s="59" t="inlineStr">
        <is>
          <t>Y</t>
        </is>
      </c>
      <c r="J31" s="59" t="inlineStr">
        <is>
          <t>Y</t>
        </is>
      </c>
      <c r="K31" s="63" t="n">
        <v>3</v>
      </c>
      <c r="L31" s="59" t="n"/>
      <c r="M31" s="59" t="n"/>
      <c r="N31" s="2" t="n"/>
      <c r="O31" s="2" t="n"/>
      <c r="P31" s="2" t="n"/>
      <c r="Q31" s="2" t="n"/>
      <c r="R31" s="2" t="n"/>
      <c r="S31" s="2" t="n"/>
      <c r="T31" s="2" t="n"/>
      <c r="U31" s="2" t="n"/>
      <c r="V31" s="2" t="n"/>
      <c r="W31" s="2" t="n"/>
      <c r="X31" s="2" t="n"/>
      <c r="Y31" s="2" t="n"/>
      <c r="Z31" s="2" t="n"/>
    </row>
    <row r="32" ht="15.75" customHeight="1" s="74">
      <c r="A32" s="59" t="inlineStr">
        <is>
          <t>Bismuth</t>
        </is>
      </c>
      <c r="B32" s="59" t="inlineStr">
        <is>
          <t>component</t>
        </is>
      </c>
      <c r="C32" s="60" t="n">
        <v>1</v>
      </c>
      <c r="D32" s="60" t="n">
        <v>5</v>
      </c>
      <c r="E32" s="60" t="n">
        <v>7</v>
      </c>
      <c r="F32" s="60" t="n">
        <v>3</v>
      </c>
      <c r="G32" s="60" t="n">
        <v>191</v>
      </c>
      <c r="H32" s="60" t="n">
        <v>23</v>
      </c>
      <c r="I32" s="59" t="inlineStr">
        <is>
          <t>Y</t>
        </is>
      </c>
      <c r="J32" s="59" t="inlineStr">
        <is>
          <t>N</t>
        </is>
      </c>
      <c r="K32" s="63" t="n">
        <v>3</v>
      </c>
      <c r="L32" s="59" t="n"/>
      <c r="M32" s="59" t="n"/>
      <c r="N32" s="2" t="n"/>
      <c r="O32" s="2" t="n"/>
      <c r="P32" s="2" t="n"/>
      <c r="Q32" s="2" t="n"/>
      <c r="R32" s="2" t="n"/>
      <c r="S32" s="2" t="n"/>
      <c r="T32" s="2" t="n"/>
      <c r="U32" s="2" t="n"/>
      <c r="V32" s="2" t="n"/>
      <c r="W32" s="2" t="n"/>
      <c r="X32" s="2" t="n"/>
      <c r="Y32" s="2" t="n"/>
      <c r="Z32" s="2" t="n"/>
    </row>
    <row r="33" ht="15.75" customHeight="1" s="74">
      <c r="A33" s="59" t="inlineStr">
        <is>
          <t>Zinc</t>
        </is>
      </c>
      <c r="B33" s="59" t="inlineStr">
        <is>
          <t>component</t>
        </is>
      </c>
      <c r="C33" s="60" t="n">
        <v>1</v>
      </c>
      <c r="D33" s="60" t="n">
        <v>19</v>
      </c>
      <c r="E33" s="60" t="n">
        <v>10</v>
      </c>
      <c r="F33" s="60" t="n">
        <v>12</v>
      </c>
      <c r="G33" s="60" t="n">
        <v>173</v>
      </c>
      <c r="H33" s="60" t="n">
        <v>275</v>
      </c>
      <c r="I33" s="59" t="inlineStr">
        <is>
          <t>Y</t>
        </is>
      </c>
      <c r="J33" s="59" t="inlineStr">
        <is>
          <t>N</t>
        </is>
      </c>
      <c r="K33" s="63" t="n">
        <v>3</v>
      </c>
      <c r="L33" s="59" t="n"/>
      <c r="M33" s="59" t="n"/>
      <c r="N33" s="2" t="n"/>
      <c r="O33" s="2" t="n"/>
      <c r="P33" s="2" t="n"/>
      <c r="Q33" s="2" t="n"/>
      <c r="R33" s="2" t="n"/>
      <c r="S33" s="2" t="n"/>
      <c r="T33" s="2" t="n"/>
      <c r="U33" s="2" t="n"/>
      <c r="V33" s="2" t="n"/>
      <c r="W33" s="2" t="n"/>
      <c r="X33" s="2" t="n"/>
      <c r="Y33" s="2" t="n"/>
      <c r="Z33" s="2" t="n"/>
    </row>
    <row r="34" ht="15.75" customHeight="1" s="74">
      <c r="A34" s="59" t="inlineStr">
        <is>
          <t>Niobium</t>
        </is>
      </c>
      <c r="B34" s="59" t="inlineStr">
        <is>
          <t>component</t>
        </is>
      </c>
      <c r="C34" s="60" t="n">
        <v>1</v>
      </c>
      <c r="D34" s="60" t="n">
        <v>17</v>
      </c>
      <c r="E34" s="60" t="n">
        <v>5</v>
      </c>
      <c r="F34" s="60" t="n">
        <v>10</v>
      </c>
      <c r="G34" s="60" t="n">
        <v>111</v>
      </c>
      <c r="H34" s="60" t="n">
        <v>25</v>
      </c>
      <c r="I34" s="59" t="inlineStr">
        <is>
          <t>Y</t>
        </is>
      </c>
      <c r="J34" s="59" t="inlineStr">
        <is>
          <t>Y</t>
        </is>
      </c>
      <c r="K34" s="63" t="n">
        <v>3</v>
      </c>
      <c r="L34" s="59" t="n"/>
      <c r="M34" s="59" t="n"/>
      <c r="N34" s="2" t="n"/>
      <c r="O34" s="2" t="n"/>
      <c r="P34" s="2" t="n"/>
      <c r="Q34" s="2" t="n"/>
      <c r="R34" s="2" t="n"/>
      <c r="S34" s="2" t="n"/>
      <c r="T34" s="2" t="n"/>
      <c r="U34" s="2" t="n"/>
      <c r="V34" s="2" t="n"/>
      <c r="W34" s="2" t="n"/>
      <c r="X34" s="2" t="n"/>
      <c r="Y34" s="2" t="n"/>
      <c r="Z34" s="2" t="n"/>
    </row>
    <row r="35" ht="15.75" customHeight="1" s="74">
      <c r="A35" s="59" t="inlineStr">
        <is>
          <t>Molybdenum</t>
        </is>
      </c>
      <c r="B35" s="59" t="inlineStr">
        <is>
          <t>component</t>
        </is>
      </c>
      <c r="C35" s="60" t="n">
        <v>1</v>
      </c>
      <c r="D35" s="60" t="n">
        <v>30</v>
      </c>
      <c r="E35" s="60" t="n">
        <v>15</v>
      </c>
      <c r="F35" s="60" t="n">
        <v>11</v>
      </c>
      <c r="G35" s="60" t="n">
        <v>310</v>
      </c>
      <c r="H35" s="60" t="n">
        <v>112</v>
      </c>
      <c r="I35" s="59" t="inlineStr">
        <is>
          <t>N</t>
        </is>
      </c>
      <c r="J35" s="59" t="inlineStr">
        <is>
          <t>N</t>
        </is>
      </c>
      <c r="K35" s="63" t="n">
        <v>3</v>
      </c>
      <c r="L35" s="59" t="n"/>
      <c r="M35" s="59" t="n"/>
      <c r="N35" s="2" t="n"/>
      <c r="O35" s="2" t="n"/>
      <c r="P35" s="2" t="n"/>
      <c r="Q35" s="2" t="n"/>
      <c r="R35" s="2" t="n"/>
      <c r="S35" s="2" t="n"/>
      <c r="T35" s="2" t="n"/>
      <c r="U35" s="2" t="n"/>
      <c r="V35" s="2" t="n"/>
      <c r="W35" s="2" t="n"/>
      <c r="X35" s="2" t="n"/>
      <c r="Y35" s="2" t="n"/>
      <c r="Z35" s="2" t="n"/>
    </row>
    <row r="36" ht="15.75" customHeight="1" s="74">
      <c r="A36" s="59" t="inlineStr">
        <is>
          <t>Neodymium</t>
        </is>
      </c>
      <c r="B36" s="59" t="inlineStr">
        <is>
          <t>magnet</t>
        </is>
      </c>
      <c r="C36" s="60" t="n">
        <v>1</v>
      </c>
      <c r="D36" s="60" t="n">
        <v>11</v>
      </c>
      <c r="E36" s="60" t="n">
        <v>0</v>
      </c>
      <c r="F36" s="60" t="n">
        <v>0</v>
      </c>
      <c r="G36" s="60" t="n">
        <v>19</v>
      </c>
      <c r="H36" s="60" t="n">
        <v>0</v>
      </c>
      <c r="I36" s="59" t="inlineStr">
        <is>
          <t>Y</t>
        </is>
      </c>
      <c r="J36" s="59" t="inlineStr">
        <is>
          <t>Y</t>
        </is>
      </c>
      <c r="K36" s="63" t="n">
        <v>3</v>
      </c>
      <c r="L36" s="59" t="n"/>
      <c r="M36" s="59" t="inlineStr">
        <is>
          <t>REE breakout.</t>
        </is>
      </c>
      <c r="N36" s="2" t="n"/>
      <c r="O36" s="2" t="n"/>
      <c r="P36" s="2" t="n"/>
      <c r="Q36" s="2" t="n"/>
      <c r="R36" s="2" t="n"/>
      <c r="S36" s="2" t="n"/>
      <c r="T36" s="2" t="n"/>
      <c r="U36" s="2" t="n"/>
      <c r="V36" s="2" t="n"/>
      <c r="W36" s="2" t="n"/>
      <c r="X36" s="2" t="n"/>
      <c r="Y36" s="2" t="n"/>
      <c r="Z36" s="2" t="n"/>
    </row>
    <row r="37" ht="15.75" customHeight="1" s="74">
      <c r="A37" s="59" t="inlineStr">
        <is>
          <t>Indium</t>
        </is>
      </c>
      <c r="B37" s="59" t="inlineStr">
        <is>
          <t>component</t>
        </is>
      </c>
      <c r="C37" s="60" t="n">
        <v>1</v>
      </c>
      <c r="D37" s="60" t="n">
        <v>2</v>
      </c>
      <c r="E37" s="60" t="n">
        <v>7</v>
      </c>
      <c r="F37" s="60" t="n">
        <v>4</v>
      </c>
      <c r="G37" s="60" t="n">
        <v>19</v>
      </c>
      <c r="H37" s="60" t="n">
        <v>0</v>
      </c>
      <c r="I37" s="59" t="inlineStr">
        <is>
          <t>Y</t>
        </is>
      </c>
      <c r="J37" s="59" t="inlineStr">
        <is>
          <t>N</t>
        </is>
      </c>
      <c r="K37" s="63" t="n">
        <v>3</v>
      </c>
      <c r="L37" s="59" t="n"/>
      <c r="M37" s="59" t="n"/>
      <c r="N37" s="2" t="n"/>
      <c r="O37" s="2" t="n"/>
      <c r="P37" s="2" t="n"/>
      <c r="Q37" s="2" t="n"/>
      <c r="R37" s="2" t="n"/>
      <c r="S37" s="2" t="n"/>
      <c r="T37" s="2" t="n"/>
      <c r="U37" s="2" t="n"/>
      <c r="V37" s="2" t="n"/>
      <c r="W37" s="2" t="n"/>
      <c r="X37" s="2" t="n"/>
      <c r="Y37" s="2" t="n"/>
      <c r="Z37" s="2" t="n"/>
    </row>
    <row r="38" ht="15.75" customHeight="1" s="74">
      <c r="A38" s="59" t="inlineStr">
        <is>
          <t>Terbium</t>
        </is>
      </c>
      <c r="B38" s="59" t="inlineStr">
        <is>
          <t>magnet</t>
        </is>
      </c>
      <c r="C38" s="60" t="n">
        <v>1</v>
      </c>
      <c r="D38" s="60" t="n">
        <v>10</v>
      </c>
      <c r="E38" s="60" t="n">
        <v>0</v>
      </c>
      <c r="F38" s="60" t="n">
        <v>0</v>
      </c>
      <c r="G38" s="60" t="n">
        <v>15</v>
      </c>
      <c r="H38" s="60" t="n">
        <v>0</v>
      </c>
      <c r="I38" s="59" t="inlineStr">
        <is>
          <t>Y</t>
        </is>
      </c>
      <c r="J38" s="59" t="inlineStr">
        <is>
          <t>Y</t>
        </is>
      </c>
      <c r="K38" s="63" t="n">
        <v>3</v>
      </c>
      <c r="L38" s="59" t="n"/>
      <c r="M38" s="59" t="inlineStr">
        <is>
          <t>REE breakout.</t>
        </is>
      </c>
      <c r="N38" s="2" t="n"/>
      <c r="O38" s="2" t="n"/>
      <c r="P38" s="2" t="n"/>
      <c r="Q38" s="2" t="n"/>
      <c r="R38" s="2" t="n"/>
      <c r="S38" s="2" t="n"/>
      <c r="T38" s="2" t="n"/>
      <c r="U38" s="2" t="n"/>
      <c r="V38" s="2" t="n"/>
      <c r="W38" s="2" t="n"/>
      <c r="X38" s="2" t="n"/>
      <c r="Y38" s="2" t="n"/>
      <c r="Z38" s="2" t="n"/>
    </row>
    <row r="39" ht="15.75" customHeight="1" s="74">
      <c r="A39" s="59" t="inlineStr">
        <is>
          <t>Praseodymium</t>
        </is>
      </c>
      <c r="B39" s="59" t="inlineStr">
        <is>
          <t>magnet</t>
        </is>
      </c>
      <c r="C39" s="60" t="n">
        <v>1</v>
      </c>
      <c r="D39" s="60" t="n">
        <v>11</v>
      </c>
      <c r="E39" s="60" t="n">
        <v>0</v>
      </c>
      <c r="F39" s="60" t="n">
        <v>0</v>
      </c>
      <c r="G39" s="60" t="n">
        <v>14</v>
      </c>
      <c r="H39" s="60" t="n">
        <v>0</v>
      </c>
      <c r="I39" s="59" t="inlineStr">
        <is>
          <t>Y</t>
        </is>
      </c>
      <c r="J39" s="59" t="inlineStr">
        <is>
          <t>Y</t>
        </is>
      </c>
      <c r="K39" s="63" t="n">
        <v>3</v>
      </c>
      <c r="L39" s="59" t="n"/>
      <c r="M39" s="59" t="inlineStr">
        <is>
          <t>REE breakout.</t>
        </is>
      </c>
      <c r="N39" s="2" t="n"/>
      <c r="O39" s="2" t="n"/>
      <c r="P39" s="2" t="n"/>
      <c r="Q39" s="2" t="n"/>
      <c r="R39" s="2" t="n"/>
      <c r="S39" s="2" t="n"/>
      <c r="T39" s="2" t="n"/>
      <c r="U39" s="2" t="n"/>
      <c r="V39" s="2" t="n"/>
      <c r="W39" s="2" t="n"/>
      <c r="X39" s="2" t="n"/>
      <c r="Y39" s="2" t="n"/>
      <c r="Z39" s="2" t="n"/>
    </row>
    <row r="40" ht="15.75" customHeight="1" s="74">
      <c r="A40" s="59" t="inlineStr">
        <is>
          <t>Dysprosium</t>
        </is>
      </c>
      <c r="B40" s="59" t="inlineStr">
        <is>
          <t>magnet</t>
        </is>
      </c>
      <c r="C40" s="60" t="n">
        <v>1</v>
      </c>
      <c r="D40" s="60" t="n">
        <v>10</v>
      </c>
      <c r="E40" s="60" t="n">
        <v>0</v>
      </c>
      <c r="F40" s="60" t="n">
        <v>0</v>
      </c>
      <c r="G40" s="60" t="n">
        <v>14</v>
      </c>
      <c r="H40" s="60" t="n">
        <v>0</v>
      </c>
      <c r="I40" s="59" t="inlineStr">
        <is>
          <t>Y</t>
        </is>
      </c>
      <c r="J40" s="59" t="inlineStr">
        <is>
          <t>Y</t>
        </is>
      </c>
      <c r="K40" s="63" t="n">
        <v>3</v>
      </c>
      <c r="L40" s="59" t="n"/>
      <c r="M40" s="59" t="inlineStr">
        <is>
          <t>REE breakout.</t>
        </is>
      </c>
      <c r="N40" s="2" t="n"/>
      <c r="O40" s="2" t="n"/>
      <c r="P40" s="2" t="n"/>
      <c r="Q40" s="2" t="n"/>
      <c r="R40" s="2" t="n"/>
      <c r="S40" s="2" t="n"/>
      <c r="T40" s="2" t="n"/>
      <c r="U40" s="2" t="n"/>
      <c r="V40" s="2" t="n"/>
      <c r="W40" s="2" t="n"/>
      <c r="X40" s="2" t="n"/>
      <c r="Y40" s="2" t="n"/>
      <c r="Z40" s="2" t="n"/>
    </row>
    <row r="41" ht="15.75" customHeight="1" s="7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74">
      <c r="A42" s="65" t="inlineStr">
        <is>
          <t>TOTALS</t>
        </is>
      </c>
      <c r="B42" s="2" t="n"/>
      <c r="C42" s="66">
        <f>SUM(C2:C40)</f>
        <v/>
      </c>
      <c r="D42" s="66">
        <f>SUM(D2:D40)</f>
        <v/>
      </c>
      <c r="E42" s="66">
        <f>SUM(E2:E40)</f>
        <v/>
      </c>
      <c r="F42" s="66">
        <f>SUM(F2:F40)</f>
        <v/>
      </c>
      <c r="G42" s="66">
        <f>SUM(G2:G40)</f>
        <v/>
      </c>
      <c r="H42" s="66">
        <f>SUM(H2:H40)</f>
        <v/>
      </c>
      <c r="I42" s="2" t="n"/>
      <c r="J42" s="2" t="n"/>
      <c r="K42" s="2" t="n"/>
      <c r="L42" s="2" t="n"/>
      <c r="M42" s="2" t="n"/>
      <c r="N42" s="2" t="n"/>
      <c r="O42" s="2" t="n"/>
      <c r="P42" s="2" t="n"/>
      <c r="Q42" s="2" t="n"/>
      <c r="R42" s="2" t="n"/>
      <c r="S42" s="2" t="n"/>
      <c r="T42" s="2" t="n"/>
      <c r="U42" s="2" t="n"/>
      <c r="V42" s="2" t="n"/>
      <c r="W42" s="2" t="n"/>
      <c r="X42" s="2" t="n"/>
      <c r="Y42" s="2" t="n"/>
      <c r="Z42" s="2" t="n"/>
    </row>
    <row r="43" ht="15.75" customHeight="1" s="7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74">
      <c r="A44" s="67" t="inlineStr">
        <is>
          <t>Recommended launch (Tier 1)</t>
        </is>
      </c>
      <c r="B44" s="55">
        <f>COUNTIF(K2:K40,1)</f>
        <v/>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74">
      <c r="A45" s="68" t="inlineStr">
        <is>
          <t>Tier 2 (secondary)</t>
        </is>
      </c>
      <c r="B45" s="55">
        <f>COUNTIF(K2:K40,2)</f>
        <v/>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74">
      <c r="A46" s="69" t="inlineStr">
        <is>
          <t>Tier 3 (defer)</t>
        </is>
      </c>
      <c r="B46" s="55">
        <f>COUNTIF(K2:K40,3)</f>
        <v/>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7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7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7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7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7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7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7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7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7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7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7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7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7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7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7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7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7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7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7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7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7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7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7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7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7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7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7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7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7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7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7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7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7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7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7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7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7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7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7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7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7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7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7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7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7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7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7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7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7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7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7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7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7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7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7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7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7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7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7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7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7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7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7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7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7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7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7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7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7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7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7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7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7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7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7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7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7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7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7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7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7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7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7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7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7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7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7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7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7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7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7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7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7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7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7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7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7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7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7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7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7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7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7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7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7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7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7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7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7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7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7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7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7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7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7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7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7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7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7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7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7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7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7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7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7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7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7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7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7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7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7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7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7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7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7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7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7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7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7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7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7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7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7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7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7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7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7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7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7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7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7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7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7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7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7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7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7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7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7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7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7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7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7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7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7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7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7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7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7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7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7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7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7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7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7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7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7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7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7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7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7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7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7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7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7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7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7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7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7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7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7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7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7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7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7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7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7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7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7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7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7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7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7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7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7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7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7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7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7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7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7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7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7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7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7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7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7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7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7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7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7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7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7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7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7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7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7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7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7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7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7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7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7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7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7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7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7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7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7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7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7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7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7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7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7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7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7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7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7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7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7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7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7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7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7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7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7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7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7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7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7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7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7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7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7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7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7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7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7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7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7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7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7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7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7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7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7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7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7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7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7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7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7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7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7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7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7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7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7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7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7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7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7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7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7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7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7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7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7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7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7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7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7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7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7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7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7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7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7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7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7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7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7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7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7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7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7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7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7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7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7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7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7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7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7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7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7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7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7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7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7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7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7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7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7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7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7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7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7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7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7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7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7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7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7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7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7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7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7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7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7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7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7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7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7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7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7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7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7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7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7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7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7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7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7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7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7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7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7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7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7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7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7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7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7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7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7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7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7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7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7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7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7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7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7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7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7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7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7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7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7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7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7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7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7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7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7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7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7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7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7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7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7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7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7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7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7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7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7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7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7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7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7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7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7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7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7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7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7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7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7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7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7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7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7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7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7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7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7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7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7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7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7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7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7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7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7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7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7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7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7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7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7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7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7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7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7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7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7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7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7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7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7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7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7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7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7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7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7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7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7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7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7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7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7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7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7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7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7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7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7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7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7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7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7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7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7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7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7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7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7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7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7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7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7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7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7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7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7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7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7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7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7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7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7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7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7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7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7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7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7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7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7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7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7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7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7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7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7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7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7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7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7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7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7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7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7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7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7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7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7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7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7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7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7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7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7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7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7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7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7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7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7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7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7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7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7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7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7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7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7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7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7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7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7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7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7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7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7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7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7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7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7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7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7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7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7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7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7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7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7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7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7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7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7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7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7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7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7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7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7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7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7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7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7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7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7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7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7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7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7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7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7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7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7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7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7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7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7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7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7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7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7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7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7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7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7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7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7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7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7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7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7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7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7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7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7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7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7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7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7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7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7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7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7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7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7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7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7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7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7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7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7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7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7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7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7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7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7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7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7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7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7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7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7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7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7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7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7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7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7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7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7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7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7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7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7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7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7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7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7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7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7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7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7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7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7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7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7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7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7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7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7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7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7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7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7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7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7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7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7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7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7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7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7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7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7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7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7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7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7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7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7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7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7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7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7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7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7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7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7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7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7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7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7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7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7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7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7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7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7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7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7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7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7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7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7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7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7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7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7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7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7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7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7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7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7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7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7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7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7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7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7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7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7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7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7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7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7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7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7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7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7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7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7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7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7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7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7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7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7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7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7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7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7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7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7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7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7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7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7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7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7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7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7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7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7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7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7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7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7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7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7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7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7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7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7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7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7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7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7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7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7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7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7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7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7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7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7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7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7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7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7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7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7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7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7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7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7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7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7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7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7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7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7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7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7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7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7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7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7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7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7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7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7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7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7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7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7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7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7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7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7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7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7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7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7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7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7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7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7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7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7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7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7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7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7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7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7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7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7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7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7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7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7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7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7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7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7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7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7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7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7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7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7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7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7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7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7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7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7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7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7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7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7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7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7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7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7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7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7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7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7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7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7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7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7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7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7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7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7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7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7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7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7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7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7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7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7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7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7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7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7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7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7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7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7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7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7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7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7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7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7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7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7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7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7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7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7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7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7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7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7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7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7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7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7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7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7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7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7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7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7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7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7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7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7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7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7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7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7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7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7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7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7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7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7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7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7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7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7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7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7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7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7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7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7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7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7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7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7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7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7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7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dataValidations count="1">
    <dataValidation sqref="L2:L40" showDropDown="0" showInputMessage="0" showErrorMessage="0" allowBlank="1" type="list">
      <formula1>"1 (must),2 (want),3 (skip)"</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74" min="1" max="1"/>
    <col width="70" customWidth="1" style="74" min="2" max="2"/>
    <col width="60" customWidth="1" style="74" min="3" max="3"/>
    <col width="8.710000000000001" customWidth="1" style="74" min="4" max="6"/>
  </cols>
  <sheetData>
    <row r="1">
      <c r="A1" s="70" t="inlineStr">
        <is>
          <t>Field</t>
        </is>
      </c>
      <c r="B1" s="70" t="inlineStr">
        <is>
          <t>Allowed values</t>
        </is>
      </c>
      <c r="C1" s="70" t="inlineStr">
        <is>
          <t>Notes</t>
        </is>
      </c>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74">
      <c r="A2" s="71" t="inlineStr">
        <is>
          <t>facility_type</t>
        </is>
      </c>
      <c r="B2" s="72" t="inlineStr">
        <is>
          <t>cell_factory, concentrator, exploration_project, fabrication, hq, integrated, leach, mine, other, pack_plant, port, processing, r_and_d, recycling, refinery, smelter</t>
        </is>
      </c>
      <c r="C2" s="73" t="inlineStr">
        <is>
          <t>What the site does. Mines vs refineries are scored differently. [Extended 2026-07-07 to match app.models.enums.FacilityType - 16 values incl. smelter, concentrator, leach, port, exploration_project, fabrication, integrated.]</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30" customHeight="1" s="74">
      <c r="A3" s="71" t="inlineStr">
        <is>
          <t>status</t>
        </is>
      </c>
      <c r="B3" s="72" t="inlineStr">
        <is>
          <t>care_maintenance, closed, mothballed, operating, planned, suspended, under_construction</t>
        </is>
      </c>
      <c r="C3" s="73" t="inlineStr">
        <is>
          <t>mothballed/closed/care_maintenance flag capacity as 'at risk' in operational pillar.</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0" customHeight="1" s="74">
      <c r="A4" s="71" t="inlineStr">
        <is>
          <t>supply_chain_stage</t>
        </is>
      </c>
      <c r="B4" s="72" t="inlineStr">
        <is>
          <t>ore, concentrate, intermediate, refined, battery_grade, fabricated, scrap</t>
        </is>
      </c>
      <c r="C4" s="73" t="inlineStr">
        <is>
          <t>Determines which HS-stage node this facility's capacity contributes to.</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30" customHeight="1" s="74">
      <c r="A5" s="71" t="inlineStr">
        <is>
          <t>ownership_type</t>
        </is>
      </c>
      <c r="B5" s="72" t="inlineStr">
        <is>
          <t>operator, jv_partner, lessee, minority_stake, other</t>
        </is>
      </c>
      <c r="C5" s="73" t="inlineStr">
        <is>
          <t>Operator vs JV vs minority. Affects how scores attribute risk.</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30" customHeight="1" s="74">
      <c r="A6" s="71" t="inlineStr">
        <is>
          <t>capacity_unit</t>
        </is>
      </c>
      <c r="B6" s="72" t="inlineStr">
        <is>
          <t>t/yr, kt/yr, mt/yr, lb/yr, GWh/yr, other</t>
        </is>
      </c>
      <c r="C6" s="73" t="inlineStr">
        <is>
          <t>t/yr is preferred. kt/yr accepted (multiplied by 1000 on load).</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82" t="inlineStr">
        <is>
          <t>operating_since</t>
        </is>
      </c>
      <c r="B7" s="2" t="inlineStr">
        <is>
          <t>Integer year (YYYY)</t>
        </is>
      </c>
      <c r="C7" s="2" t="inlineStr">
        <is>
          <t>Optional. Year facility first began operations. Useful for asset age + depletion-risk. Source: 10-K Item 2 / 20-F Item 4.D Properties.</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82" t="inlineStr">
        <is>
          <t>mine_type</t>
        </is>
      </c>
      <c r="B8" s="2" t="inlineStr">
        <is>
          <t>open_pit, underground, brine, in_situ_leach, mixed</t>
        </is>
      </c>
      <c r="C8" s="2" t="inlineStr">
        <is>
          <t>Optional. Only for facility_type=mine. Drives operational risk profile (open-pit hard rock vs evaporative brine vs underground).</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82" t="inlineStr">
        <is>
          <t>process_recovery_pct</t>
        </is>
      </c>
      <c r="B9" s="2" t="inlineStr">
        <is>
          <t>0.0 – 1.0 decimal</t>
        </is>
      </c>
      <c r="C9" s="2" t="inlineStr">
        <is>
          <t>Optional. Process recovery percentage for beneficiation. Strong asset quality indicator.</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82" t="inlineStr">
        <is>
          <t>expected_closure_year</t>
        </is>
      </c>
      <c r="B10" s="2" t="inlineStr">
        <is>
          <t>Integer year (YYYY)</t>
        </is>
      </c>
      <c r="C10" s="2" t="inlineStr">
        <is>
          <t>Optional. Estimated mine closure per current life-of-mine plan. Disclosed in TRS (SK-1300) / NI 43-101 / 10-K Item 2 / 20-F Item 4.D. Drives depletion-risk scoring.</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82" t="inlineStr">
        <is>
          <t>product_end_use</t>
        </is>
      </c>
      <c r="B11" s="2" t="inlineStr">
        <is>
          <t>Free text</t>
        </is>
      </c>
      <c r="C11" s="2" t="inlineStr">
        <is>
          <t>Documents what the facility's output actually goes to. Resolves launch-10-canonical-name ambiguity (material_canonical may say "Iron Ore (LFP Grade)" for all iron ore producers but most output is steelmaking). battery_grade_relevance weighting itself lives in Company Material Exposure tab.</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7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7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7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7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7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7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7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7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7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7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7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7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7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7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7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7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7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7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7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7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7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7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7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7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7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7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7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7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7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7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7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7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7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7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7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7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7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7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7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7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7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7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7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7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7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7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7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7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7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7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7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7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7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7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7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7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7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7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7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7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7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7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7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7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7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7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7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7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7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7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7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7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7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7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7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7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7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7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7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7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7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7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7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7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7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7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7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7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7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7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7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7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7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7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7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7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7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7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7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7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7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7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7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7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7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7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7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7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7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7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7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7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7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7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7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7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7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7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7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7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7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7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7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7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7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7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7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7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7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7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7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7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7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7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7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7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7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7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7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7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7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7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7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7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7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7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7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7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7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7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7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7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7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7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7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7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7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7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7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7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7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7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7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7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7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7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7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7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7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7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7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7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7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7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7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7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7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7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7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7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7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7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7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7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7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7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7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7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7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7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7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7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7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7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7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7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7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7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7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7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7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7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7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7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7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7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7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7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7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7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7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7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7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7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7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7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7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7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7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7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7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7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7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7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7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7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7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7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7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7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7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7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7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7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7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7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7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7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7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7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7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7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7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7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7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7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7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7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7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7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7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7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7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7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7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7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7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7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7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7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7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7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7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7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7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7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7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7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7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7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7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7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7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7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7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7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7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7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7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7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7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7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7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7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7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7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7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7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7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7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7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7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7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7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7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7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7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7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7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7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7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7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7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7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7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7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7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7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7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7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7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7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7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7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7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7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7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7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7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7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7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7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7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7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7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7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7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7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7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7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7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7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7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7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7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7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7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7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7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7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7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7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7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7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7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7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7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7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7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7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7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7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7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7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7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7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7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7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7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7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7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7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7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7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7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7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7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7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7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7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7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7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7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7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7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7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7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7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7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7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7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7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7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7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7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7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7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7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7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7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7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7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7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7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7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7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7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7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7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7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7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7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7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7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7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7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7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7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7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7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7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7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7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7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7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7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7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7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7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7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7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7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7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7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7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7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7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7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7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7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7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7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7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7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7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7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7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7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7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7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7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7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7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7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7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7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7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7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7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7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7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7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7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7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7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7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7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7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7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7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7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7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7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7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7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7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7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7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7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7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7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7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7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7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7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7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7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7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7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7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7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7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7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7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7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7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7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7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7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7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7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7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7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7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7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7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7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7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7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7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7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7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7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7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7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7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7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7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7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7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7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7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7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7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7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7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7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7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7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7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7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7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7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7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7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7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7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7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7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7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7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7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7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7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7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7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7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7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7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7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7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7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7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7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7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7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7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7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7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7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7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7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7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7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7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7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7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7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7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7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7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7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7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7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7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7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7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7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7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7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7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7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7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7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7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7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7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7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7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7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7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7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7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7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7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7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7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7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7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7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7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7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7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7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7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7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7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7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7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7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7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7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7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7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7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7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7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7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7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7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7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7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7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7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7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7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7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7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7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7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7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7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7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7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7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7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7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7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7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7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7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7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7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7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7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7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7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7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7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7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7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7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7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7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7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7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7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7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7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7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7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7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7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7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7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7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7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7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7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7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7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7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7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7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7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7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7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7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7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7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7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7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7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7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7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7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7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7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7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7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7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7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7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7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7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7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7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7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7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7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7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7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7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7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7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7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7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7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7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7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7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7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7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7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7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7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7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7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7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7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7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7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7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7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7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7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7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7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7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7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7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7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7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7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7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7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7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7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7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7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7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7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7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7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7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7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7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7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7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7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7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7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7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7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7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7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7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7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7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7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7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7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7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7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7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7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7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7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7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7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7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7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7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7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7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7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7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7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7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7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7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7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7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7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7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7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7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7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7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7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7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7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7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7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7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7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7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7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7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7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7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7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7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7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7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7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7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7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7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7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7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7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7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7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7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7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7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7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7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7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7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7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7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7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7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7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7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7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7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7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7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7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7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7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7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7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7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7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7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7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7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7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7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7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7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7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7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7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7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7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7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7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7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7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7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7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7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7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7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7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7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7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7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7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7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7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7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7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7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7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7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7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7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7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7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7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7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7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7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7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7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7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7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7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7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7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7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7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7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7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7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7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7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7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7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7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7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7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7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7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7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7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7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7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7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7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7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7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7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7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7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7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7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7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7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7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7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7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7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7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7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7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7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7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7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7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7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7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7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7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7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7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7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7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7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7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7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7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7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7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7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7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7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7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7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7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7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7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7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7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7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7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7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7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7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7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7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7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7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7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7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7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7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7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7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7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7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7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7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7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7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7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7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7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7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7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7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7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7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7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s="0" t="inlineStr">
        <is>
          <t>company_name</t>
        </is>
      </c>
      <c r="B1" s="0" t="inlineStr">
        <is>
          <t>company_country</t>
        </is>
      </c>
      <c r="C1" s="0" t="inlineStr">
        <is>
          <t>facility_name</t>
        </is>
      </c>
      <c r="D1" s="0" t="inlineStr">
        <is>
          <t>facility_type</t>
        </is>
      </c>
      <c r="E1" s="0" t="inlineStr">
        <is>
          <t>country</t>
        </is>
      </c>
      <c r="F1" s="0" t="inlineStr">
        <is>
          <t>region</t>
        </is>
      </c>
      <c r="G1" s="0" t="inlineStr">
        <is>
          <t>city</t>
        </is>
      </c>
      <c r="H1" s="0" t="inlineStr">
        <is>
          <t>lat</t>
        </is>
      </c>
      <c r="I1" s="0" t="inlineStr">
        <is>
          <t>lon</t>
        </is>
      </c>
      <c r="J1" s="0" t="inlineStr">
        <is>
          <t>status</t>
        </is>
      </c>
      <c r="K1" s="0" t="inlineStr">
        <is>
          <t>material_canonical</t>
        </is>
      </c>
      <c r="L1" s="0" t="inlineStr">
        <is>
          <t>capacity_tpy</t>
        </is>
      </c>
      <c r="M1" s="0" t="inlineStr">
        <is>
          <t>capacity_unit</t>
        </is>
      </c>
      <c r="N1" s="0" t="inlineStr">
        <is>
          <t>production_tpy</t>
        </is>
      </c>
      <c r="O1" s="0" t="inlineStr">
        <is>
          <t>production_unit</t>
        </is>
      </c>
      <c r="P1" s="0" t="inlineStr">
        <is>
          <t>is_primary_product</t>
        </is>
      </c>
      <c r="Q1" s="0" t="inlineStr">
        <is>
          <t>supply_chain_stage</t>
        </is>
      </c>
      <c r="R1" s="0" t="inlineStr">
        <is>
          <t>hs_code</t>
        </is>
      </c>
      <c r="S1" s="0" t="inlineStr">
        <is>
          <t>ownership_type</t>
        </is>
      </c>
      <c r="T1" s="0" t="inlineStr">
        <is>
          <t>ownership_pct</t>
        </is>
      </c>
      <c r="U1" s="0" t="inlineStr">
        <is>
          <t>source_url</t>
        </is>
      </c>
      <c r="V1" s="0" t="inlineStr">
        <is>
          <t>notes</t>
        </is>
      </c>
      <c r="W1" s="0" t="inlineStr">
        <is>
          <t>operating_since</t>
        </is>
      </c>
      <c r="X1" s="0" t="inlineStr">
        <is>
          <t>mine_type</t>
        </is>
      </c>
      <c r="Y1" s="0" t="inlineStr">
        <is>
          <t>process_recovery_pct</t>
        </is>
      </c>
      <c r="Z1" s="0" t="inlineStr">
        <is>
          <t>expected_closure_year</t>
        </is>
      </c>
      <c r="AA1" s="0" t="inlineStr">
        <is>
          <t>product_end_use</t>
        </is>
      </c>
    </row>
    <row r="2">
      <c r="A2" s="0" t="inlineStr">
        <is>
          <t>Moved 2026-07-10: coal/potash context rows (BHP walkthrough) - no battery material canonical; loader requires one. Preserved here, invisible to seed_facilities_partner (reads the Facility Seed sheet only).</t>
        </is>
      </c>
      <c r="B2" s="0" t="inlineStr"/>
      <c r="C2" s="0" t="inlineStr"/>
      <c r="D2" s="0" t="inlineStr"/>
      <c r="E2" s="0" t="inlineStr"/>
      <c r="F2" s="0" t="inlineStr"/>
      <c r="G2" s="0" t="inlineStr"/>
      <c r="H2" s="0" t="inlineStr"/>
      <c r="I2" s="0" t="inlineStr"/>
      <c r="J2" s="0" t="inlineStr"/>
      <c r="K2" s="0" t="inlineStr"/>
      <c r="L2" s="0" t="inlineStr"/>
      <c r="M2" s="0" t="inlineStr"/>
      <c r="N2" s="0" t="inlineStr"/>
      <c r="O2" s="0" t="inlineStr"/>
      <c r="P2" s="0" t="inlineStr"/>
      <c r="Q2" s="0" t="inlineStr"/>
      <c r="R2" s="0" t="inlineStr"/>
      <c r="S2" s="0" t="inlineStr"/>
      <c r="T2" s="0" t="inlineStr"/>
      <c r="U2" s="0" t="inlineStr"/>
      <c r="V2" s="0" t="inlineStr"/>
      <c r="W2" s="0" t="inlineStr"/>
      <c r="X2" s="0" t="inlineStr"/>
      <c r="Y2" s="0" t="inlineStr"/>
      <c r="Z2" s="0" t="inlineStr"/>
      <c r="AA2" s="0" t="inlineStr"/>
    </row>
    <row r="3">
      <c r="A3" s="0" t="inlineStr">
        <is>
          <t>BHP Group</t>
        </is>
      </c>
      <c r="B3" s="0" t="inlineStr">
        <is>
          <t>AU</t>
        </is>
      </c>
      <c r="C3" s="0" t="inlineStr">
        <is>
          <t>Goonyella Riverside</t>
        </is>
      </c>
      <c r="D3" s="0" t="inlineStr">
        <is>
          <t>mine</t>
        </is>
      </c>
      <c r="E3" s="0" t="inlineStr">
        <is>
          <t>AU</t>
        </is>
      </c>
      <c r="F3" s="0" t="inlineStr">
        <is>
          <t>Queensland</t>
        </is>
      </c>
      <c r="G3" s="0" t="inlineStr">
        <is>
          <t>Bowen Basin</t>
        </is>
      </c>
      <c r="J3" s="0" t="inlineStr">
        <is>
          <t>operating</t>
        </is>
      </c>
      <c r="N3" s="0" t="n">
        <v>5837000</v>
      </c>
      <c r="O3" s="0" t="inlineStr">
        <is>
          <t>tonnes steelmaking coal</t>
        </is>
      </c>
      <c r="P3" s="0" t="inlineStr">
        <is>
          <t>TRUE</t>
        </is>
      </c>
      <c r="Q3" s="0" t="inlineStr">
        <is>
          <t>ore</t>
        </is>
      </c>
      <c r="R3" s="0" t="inlineStr">
        <is>
          <t>270111</t>
        </is>
      </c>
      <c r="S3" s="0" t="inlineStr">
        <is>
          <t>jv_partner</t>
        </is>
      </c>
      <c r="T3" s="0" t="n">
        <v>0.5</v>
      </c>
      <c r="U3" s="0" t="inlineStr">
        <is>
          <t>https://www.sec.gov/Archives/edgar/data/811809/000119312525185641/d941636d20f.htm</t>
        </is>
      </c>
      <c r="V3" s="0" t="inlineStr">
        <is>
          <t>BHP 2025 20-F OFR 6.3 BHP Mitsubishi Alliance (p.28): STEELMAKING COAL. Open-cut. Includes processing plant that processes coal extracted from Broadmeadow underground AND Goonyella Riverside open cut. Part of BMA (BHP Mitsubishi Alliance, BHP 50% + Mitsubishi 50%). Covered by BARADA BARNA NATIVE TITLE AGREEMENT (July 2024) — see risk event Row 78. Not a launch-10 material. *** AI4 FY25 BMA: 5,837 kt (BHP 50% share) — INCLUDES Broadmeadow underground longwall feed. Down from 6,434 kt FY24, 8,310 kt FY23. *** AI Sec 6 Coal Reserves (BMA aggregate, BHP 50% share): 871 Mt total coal reserves (774 Mt Proven + 97 Mt Probable), 535 Mt total marketable coal reserves @ 10.3% Ash / 21.5% VM / 0.61% S. BMA total covers Goonyella Complex + Caval Ridge + Peak Downs + Saraji + Saraji South deposits (99.9% hard coking coal, 0.1% thermal coal product mix). Reserve pricing: hard coking coal US$321.16/t + thermal coal US$199.66/t. Marketable coal moisture: Goonyella Complex 10.0%. [OWNERSHIP TYPE FIX 2026-07-10: was 'jv_partner_operator' (operator-side JV) - loader enum has no operator-distinction.]</t>
        </is>
      </c>
      <c r="X3" s="0" t="inlineStr">
        <is>
          <t>open_pit</t>
        </is>
      </c>
      <c r="AA3" s="0" t="inlineStr">
        <is>
          <t>steelmaking coal</t>
        </is>
      </c>
    </row>
    <row r="4">
      <c r="A4" s="0" t="inlineStr">
        <is>
          <t>BHP Group</t>
        </is>
      </c>
      <c r="B4" s="0" t="inlineStr">
        <is>
          <t>AU</t>
        </is>
      </c>
      <c r="C4" s="0" t="inlineStr">
        <is>
          <t>Broadmeadow</t>
        </is>
      </c>
      <c r="D4" s="0" t="inlineStr">
        <is>
          <t>mine</t>
        </is>
      </c>
      <c r="E4" s="0" t="inlineStr">
        <is>
          <t>AU</t>
        </is>
      </c>
      <c r="F4" s="0" t="inlineStr">
        <is>
          <t>Queensland</t>
        </is>
      </c>
      <c r="G4" s="0" t="inlineStr">
        <is>
          <t>Bowen Basin</t>
        </is>
      </c>
      <c r="J4" s="0" t="inlineStr">
        <is>
          <t>operating</t>
        </is>
      </c>
      <c r="P4" s="0" t="inlineStr">
        <is>
          <t>TRUE</t>
        </is>
      </c>
      <c r="Q4" s="0" t="inlineStr">
        <is>
          <t>ore</t>
        </is>
      </c>
      <c r="R4" s="0" t="inlineStr">
        <is>
          <t>270111</t>
        </is>
      </c>
      <c r="S4" s="0" t="inlineStr">
        <is>
          <t>jv_partner</t>
        </is>
      </c>
      <c r="T4" s="0" t="n">
        <v>0.5</v>
      </c>
      <c r="U4" s="0" t="inlineStr">
        <is>
          <t>https://www.sec.gov/Archives/edgar/data/811809/000119312525185641/d941636d20f.htm</t>
        </is>
      </c>
      <c r="V4" s="0" t="inlineStr">
        <is>
          <t>BHP 2025 20-F OFR 6.3 BMA (p.28): STEELMAKING COAL. UNDERGROUND LONGWALL operation (only underground BMA mine). Coal is processed at Goonyella Riverside plant. Part of BMA (BHP 50% + Mitsubishi 50%). FY25 saw GEOTECHNICAL CHALLENGES at Broadmeadow that impacted production. Covered by Barada Barna Native Title Agreement (Row 78). Not a launch-10 material. *** AI4 FY25: production BUNDLED INTO GOONYELLA RIVERSIDE ROW (per BHP reporting — Broadmeadow underground longwall coal processed at Goonyella Riverside plant). Geotechnical challenges impacted FY25 Broadmeadow performance per OFR 6.3. *** AI Sec 6: Reserves BUNDLED WITH GOONYELLA COMPLEX (part of BMA 871 Mt total). Longwall underground; product processed at Goonyella Riverside plant. [OWNERSHIP TYPE FIX 2026-07-10: was 'jv_partner_operator' (operator-side JV) - loader enum has no operator-distinction.]</t>
        </is>
      </c>
      <c r="X4" s="0" t="inlineStr">
        <is>
          <t>underground</t>
        </is>
      </c>
      <c r="AA4" s="0" t="inlineStr">
        <is>
          <t>steelmaking coal</t>
        </is>
      </c>
    </row>
    <row r="5">
      <c r="A5" s="0" t="inlineStr">
        <is>
          <t>BHP Group</t>
        </is>
      </c>
      <c r="B5" s="0" t="inlineStr">
        <is>
          <t>AU</t>
        </is>
      </c>
      <c r="C5" s="0" t="inlineStr">
        <is>
          <t>Peak Downs</t>
        </is>
      </c>
      <c r="D5" s="0" t="inlineStr">
        <is>
          <t>mine</t>
        </is>
      </c>
      <c r="E5" s="0" t="inlineStr">
        <is>
          <t>AU</t>
        </is>
      </c>
      <c r="F5" s="0" t="inlineStr">
        <is>
          <t>Queensland</t>
        </is>
      </c>
      <c r="G5" s="0" t="inlineStr">
        <is>
          <t>Bowen Basin</t>
        </is>
      </c>
      <c r="J5" s="0" t="inlineStr">
        <is>
          <t>operating</t>
        </is>
      </c>
      <c r="N5" s="0" t="n">
        <v>4574000</v>
      </c>
      <c r="O5" s="0" t="inlineStr">
        <is>
          <t>tonnes steelmaking coal</t>
        </is>
      </c>
      <c r="P5" s="0" t="inlineStr">
        <is>
          <t>TRUE</t>
        </is>
      </c>
      <c r="Q5" s="0" t="inlineStr">
        <is>
          <t>ore</t>
        </is>
      </c>
      <c r="R5" s="0" t="inlineStr">
        <is>
          <t>270111</t>
        </is>
      </c>
      <c r="S5" s="0" t="inlineStr">
        <is>
          <t>jv_partner</t>
        </is>
      </c>
      <c r="T5" s="0" t="n">
        <v>0.5</v>
      </c>
      <c r="U5" s="0" t="inlineStr">
        <is>
          <t>https://www.sec.gov/Archives/edgar/data/811809/000119312525185641/d941636d20f.htm</t>
        </is>
      </c>
      <c r="V5" s="0" t="inlineStr">
        <is>
          <t>BHP 2025 20-F OFR 6.3 BMA (p.28): STEELMAKING COAL. Open-cut with on-site processing plant. Part of BMA (BHP 50% + Mitsubishi 50%). Covered by Barada Barna Native Title Agreement (Row 78). Not a launch-10 material. *** AI4 FY25 BMA: 4,574 kt (BHP 50% share). Up from 4,217 kt FY24, down from 5,480 kt FY23. *** AI Sec 6: Reserves BUNDLED WITH BMA TOTAL (871 Mt aggregate, BHP 50% share). Peak Downs marketable coal moisture 10.5%. [OWNERSHIP TYPE FIX 2026-07-10: was 'jv_partner_operator' (operator-side JV) - loader enum has no operator-distinction.]</t>
        </is>
      </c>
      <c r="X5" s="0" t="inlineStr">
        <is>
          <t>open_pit</t>
        </is>
      </c>
      <c r="AA5" s="0" t="inlineStr">
        <is>
          <t>steelmaking coal</t>
        </is>
      </c>
    </row>
    <row r="6">
      <c r="A6" s="0" t="inlineStr">
        <is>
          <t>BHP Group</t>
        </is>
      </c>
      <c r="B6" s="0" t="inlineStr">
        <is>
          <t>AU</t>
        </is>
      </c>
      <c r="C6" s="0" t="inlineStr">
        <is>
          <t>Saraji</t>
        </is>
      </c>
      <c r="D6" s="0" t="inlineStr">
        <is>
          <t>mine</t>
        </is>
      </c>
      <c r="E6" s="0" t="inlineStr">
        <is>
          <t>AU</t>
        </is>
      </c>
      <c r="F6" s="0" t="inlineStr">
        <is>
          <t>Queensland</t>
        </is>
      </c>
      <c r="G6" s="0" t="inlineStr">
        <is>
          <t>Bowen Basin</t>
        </is>
      </c>
      <c r="J6" s="0" t="inlineStr">
        <is>
          <t>operating</t>
        </is>
      </c>
      <c r="N6" s="0" t="n">
        <v>4073000</v>
      </c>
      <c r="O6" s="0" t="inlineStr">
        <is>
          <t>tonnes steelmaking coal</t>
        </is>
      </c>
      <c r="P6" s="0" t="inlineStr">
        <is>
          <t>TRUE</t>
        </is>
      </c>
      <c r="Q6" s="0" t="inlineStr">
        <is>
          <t>ore</t>
        </is>
      </c>
      <c r="R6" s="0" t="inlineStr">
        <is>
          <t>270111</t>
        </is>
      </c>
      <c r="S6" s="0" t="inlineStr">
        <is>
          <t>jv_partner</t>
        </is>
      </c>
      <c r="T6" s="0" t="n">
        <v>0.5</v>
      </c>
      <c r="U6" s="0" t="inlineStr">
        <is>
          <t>https://www.sec.gov/Archives/edgar/data/811809/000119312525185641/d941636d20f.htm</t>
        </is>
      </c>
      <c r="V6" s="0" t="inlineStr">
        <is>
          <t>BHP 2025 20-F OFR 6.3 BMA (p.28): STEELMAKING COAL. Open-cut with on-site processing plant. Part of BMA (BHP 50% + Mitsubishi 50%). Covered by Barada Barna Native Title Agreement (Row 78). Not a launch-10 material. *** AI4 FY25 BMA: 4,073 kt (BHP 50% share). Up from 3,287 kt FY24, down from 4,596 kt FY23. *** AI Sec 6: Reserves BUNDLED WITH BMA TOTAL (871 Mt aggregate, BHP 50% share). Saraji marketable coal moisture 10.1%. Reserves include Saraji South deposit (satellite/future project). [OWNERSHIP TYPE FIX 2026-07-10: was 'jv_partner_operator' (operator-side JV) - loader enum has no operator-distinction.]</t>
        </is>
      </c>
      <c r="X6" s="0" t="inlineStr">
        <is>
          <t>open_pit</t>
        </is>
      </c>
      <c r="AA6" s="0" t="inlineStr">
        <is>
          <t>steelmaking coal</t>
        </is>
      </c>
    </row>
    <row r="7">
      <c r="A7" s="0" t="inlineStr">
        <is>
          <t>BHP Group</t>
        </is>
      </c>
      <c r="B7" s="0" t="inlineStr">
        <is>
          <t>AU</t>
        </is>
      </c>
      <c r="C7" s="0" t="inlineStr">
        <is>
          <t>Caval Ridge</t>
        </is>
      </c>
      <c r="D7" s="0" t="inlineStr">
        <is>
          <t>mine</t>
        </is>
      </c>
      <c r="E7" s="0" t="inlineStr">
        <is>
          <t>AU</t>
        </is>
      </c>
      <c r="F7" s="0" t="inlineStr">
        <is>
          <t>Queensland</t>
        </is>
      </c>
      <c r="G7" s="0" t="inlineStr">
        <is>
          <t>Bowen Basin</t>
        </is>
      </c>
      <c r="J7" s="0" t="inlineStr">
        <is>
          <t>operating</t>
        </is>
      </c>
      <c r="N7" s="0" t="n">
        <v>3526000</v>
      </c>
      <c r="O7" s="0" t="inlineStr">
        <is>
          <t>tonnes steelmaking coal</t>
        </is>
      </c>
      <c r="P7" s="0" t="inlineStr">
        <is>
          <t>TRUE</t>
        </is>
      </c>
      <c r="Q7" s="0" t="inlineStr">
        <is>
          <t>ore</t>
        </is>
      </c>
      <c r="R7" s="0" t="inlineStr">
        <is>
          <t>270111</t>
        </is>
      </c>
      <c r="S7" s="0" t="inlineStr">
        <is>
          <t>jv_partner</t>
        </is>
      </c>
      <c r="T7" s="0" t="n">
        <v>0.5</v>
      </c>
      <c r="U7" s="0" t="inlineStr">
        <is>
          <t>https://www.sec.gov/Archives/edgar/data/811809/000119312525185641/d941636d20f.htm</t>
        </is>
      </c>
      <c r="V7" s="0" t="inlineStr">
        <is>
          <t>BHP 2025 20-F OFR 6.3 BMA (p.28): STEELMAKING COAL. Open-cut with on-site processing plant. Part of BMA (BHP 50% + Mitsubishi 50%). Covered by Barada Barna Native Title Agreement (Row 78). Not a launch-10 material. *** AI4 FY25 BMA: 3,526 kt (BHP 50% share). Up from 3,252 kt FY24, down from 3,590 kt FY23. *** AI Sec 6: Reserves BUNDLED WITH BMA TOTAL (871 Mt aggregate, BHP 50% share). Caval Ridge marketable coal moisture 10.5%. [OWNERSHIP TYPE FIX 2026-07-10: was 'jv_partner_operator' (operator-side JV) - loader enum has no operator-distinction.]</t>
        </is>
      </c>
      <c r="X7" s="0" t="inlineStr">
        <is>
          <t>open_pit</t>
        </is>
      </c>
      <c r="AA7" s="0" t="inlineStr">
        <is>
          <t>steelmaking coal</t>
        </is>
      </c>
    </row>
    <row r="8">
      <c r="A8" s="0" t="inlineStr">
        <is>
          <t>BHP Group</t>
        </is>
      </c>
      <c r="B8" s="0" t="inlineStr">
        <is>
          <t>AU</t>
        </is>
      </c>
      <c r="C8" s="0" t="inlineStr">
        <is>
          <t>Hay Point Coal Terminal</t>
        </is>
      </c>
      <c r="D8" s="0" t="inlineStr">
        <is>
          <t>port</t>
        </is>
      </c>
      <c r="E8" s="0" t="inlineStr">
        <is>
          <t>AU</t>
        </is>
      </c>
      <c r="F8" s="0" t="inlineStr">
        <is>
          <t>Queensland</t>
        </is>
      </c>
      <c r="G8" s="0" t="inlineStr">
        <is>
          <t>Mackay</t>
        </is>
      </c>
      <c r="J8" s="0" t="inlineStr">
        <is>
          <t>operating</t>
        </is>
      </c>
      <c r="P8" s="0" t="inlineStr">
        <is>
          <t>TRUE</t>
        </is>
      </c>
      <c r="R8" s="0" t="inlineStr">
        <is>
          <t>270111</t>
        </is>
      </c>
      <c r="S8" s="0" t="inlineStr">
        <is>
          <t>jv_partner</t>
        </is>
      </c>
      <c r="T8" s="0" t="n">
        <v>0.5</v>
      </c>
      <c r="U8" s="0" t="inlineStr">
        <is>
          <t>https://www.sec.gov/Archives/edgar/data/811809/000119312525185641/d941636d20f.htm</t>
        </is>
      </c>
      <c r="V8" s="0" t="inlineStr">
        <is>
          <t>BHP 2025 20-F OFR 6.3 BMA (p.28): Coal-loading terminal near Mackay for BMA steelmaking coal export. BMA-owned and operated. Rail transport from BMA mines (Goonyella Riverside, Broadmeadow, Peak Downs, Saraji, Caval Ridge). BHP 50% + Mitsubishi 50%. Further blending at terminal per customer/operational needs. [stage normalized "logistics"-&gt;"None" 2026-07-07: coal terminal, material=None - non-launch, no stage; original value logistics] [OWNERSHIP TYPE FIX 2026-07-10: was 'jv_partner_operator' (operator-side JV) - loader enum has no operator-distinction.]</t>
        </is>
      </c>
      <c r="AA8" s="0" t="inlineStr">
        <is>
          <t>steelmaking coal</t>
        </is>
      </c>
    </row>
    <row r="9">
      <c r="A9" s="0" t="inlineStr">
        <is>
          <t>BHP Group</t>
        </is>
      </c>
      <c r="B9" s="0" t="inlineStr">
        <is>
          <t>AU</t>
        </is>
      </c>
      <c r="C9" s="0" t="inlineStr">
        <is>
          <t>Mt Arthur Coal</t>
        </is>
      </c>
      <c r="D9" s="0" t="inlineStr">
        <is>
          <t>mine</t>
        </is>
      </c>
      <c r="E9" s="0" t="inlineStr">
        <is>
          <t>AU</t>
        </is>
      </c>
      <c r="F9" s="0" t="inlineStr">
        <is>
          <t>New South Wales</t>
        </is>
      </c>
      <c r="G9" s="0" t="inlineStr">
        <is>
          <t>Hunter Valley</t>
        </is>
      </c>
      <c r="J9" s="0" t="inlineStr">
        <is>
          <t>operating</t>
        </is>
      </c>
      <c r="N9" s="0" t="n">
        <v>15036000</v>
      </c>
      <c r="O9" s="0" t="inlineStr">
        <is>
          <t>tonnes energy coal</t>
        </is>
      </c>
      <c r="P9" s="0" t="inlineStr">
        <is>
          <t>TRUE</t>
        </is>
      </c>
      <c r="Q9" s="0" t="inlineStr">
        <is>
          <t>ore</t>
        </is>
      </c>
      <c r="R9" s="0" t="inlineStr">
        <is>
          <t>270112</t>
        </is>
      </c>
      <c r="S9" s="0" t="inlineStr">
        <is>
          <t>operator</t>
        </is>
      </c>
      <c r="T9" s="0" t="n">
        <v>1</v>
      </c>
      <c r="U9" s="0" t="inlineStr">
        <is>
          <t>https://www.sec.gov/Archives/edgar/data/811809/000119312525185641/d941636d20f.htm</t>
        </is>
      </c>
      <c r="V9" s="0" t="inlineStr">
        <is>
          <t>BHP 2025 20-F OFR 6.3 New South Wales Energy Coal (p.29): OPEN-CUT ENERGY COAL mine. Part of NSWEC (BHP 100%). FY25 production 15.04 Mt (exceeded top of external guidance range 13-15 Mt). FY25: NSW GOVERNMENT approved 4-YEAR EXTENSION to June 2030 (see risk event Row 74). Includes A$30M community fund + ACCIONA Energía pumped hydro storage agreement. FY26 guidance 14-16 Mt. Managed process to CEASE MINING BY END OF FY2030 per FY22 announcement. Not a launch-10 material. *** AI4 FY25: 15,036 kt (BHP 100% saleable production). Down slightly from 15,368 kt FY24, up from 14,172 kt FY23. Exceeded top of external guidance range 13-15 Mt. *** AI Sec 6 Coal Reserves (NSWEC, BHP 100%): 100 Mt total (79 Mt Proven + 21 Mt Probable), 78 Mt marketable @ 16.1% Ash / 30.2% VM / 0.53% S / 5,780 Kcal/kg. Resources coverage adequate for extension mining to end FY2030 (approved). Reserve pricing basis US$174.26/t 3-year historic Newcastle FOB thermal coal 6,000 kcal.</t>
        </is>
      </c>
      <c r="X9" s="0" t="inlineStr">
        <is>
          <t>open_pit</t>
        </is>
      </c>
      <c r="Z9" s="0" t="n">
        <v>2030</v>
      </c>
      <c r="AA9" s="0" t="inlineStr">
        <is>
          <t>thermal coal</t>
        </is>
      </c>
    </row>
    <row r="10">
      <c r="A10" s="0" t="inlineStr">
        <is>
          <t>BHP Group</t>
        </is>
      </c>
      <c r="B10" s="0" t="inlineStr">
        <is>
          <t>AU</t>
        </is>
      </c>
      <c r="C10" s="0" t="inlineStr">
        <is>
          <t>Jansen</t>
        </is>
      </c>
      <c r="D10" s="0" t="inlineStr">
        <is>
          <t>mine</t>
        </is>
      </c>
      <c r="E10" s="0" t="inlineStr">
        <is>
          <t>CA</t>
        </is>
      </c>
      <c r="F10" s="0" t="inlineStr">
        <is>
          <t>Saskatchewan</t>
        </is>
      </c>
      <c r="J10" s="0" t="inlineStr">
        <is>
          <t>under_construction</t>
        </is>
      </c>
      <c r="L10" s="0" t="n">
        <v>4150000</v>
      </c>
      <c r="M10" s="0" t="inlineStr">
        <is>
          <t>t/yr</t>
        </is>
      </c>
      <c r="N10" s="0" t="n">
        <v>0</v>
      </c>
      <c r="O10" s="0" t="inlineStr">
        <is>
          <t>tonnes MOP</t>
        </is>
      </c>
      <c r="P10" s="0" t="inlineStr">
        <is>
          <t>TRUE</t>
        </is>
      </c>
      <c r="Q10" s="0" t="inlineStr">
        <is>
          <t>ore</t>
        </is>
      </c>
      <c r="R10" s="0" t="inlineStr">
        <is>
          <t>310420</t>
        </is>
      </c>
      <c r="S10" s="0" t="inlineStr">
        <is>
          <t>operator</t>
        </is>
      </c>
      <c r="T10" s="0" t="n">
        <v>1</v>
      </c>
      <c r="U10" s="0" t="inlineStr">
        <is>
          <t>https://www.sec.gov/Archives/edgar/data/811809/000119312525185641/d941636d20f.htm</t>
        </is>
      </c>
      <c r="V10" s="0" t="inlineStr">
        <is>
          <t>BHP 2025 20-F OFR 6.4 Jansen potash project (p.29-30): Located ~140 km east of SASKATOON, CANADA. BHP 100%. Mineral leases covering ~9,600 km2 in Saskatchewan potash basin. STAGES: Stage 1 (JS1) — planned ~4.15 Mtpa potash on completion; 68% COMPLETE at 30 Jun 2025; first production MID-CY2027; CAPEX INCREASED US$5.7B → US$7.0-7.4B (see risk event Row 70). Stage 2 (JS2) — approved 4.36 Mtpa additional (total 8.5 Mtpa); 11% COMPLETE at 30 Jun 2025; EXECUTION EXTENDED 2 YEARS, first production FY2029 → FY2031 (see risk event Row 71). Further brownfield expansions up to 8 Mtpa (~4 Mtpa/stage) beyond JS1+JS2. Underground mine. Potash is not a launch-10 material. *** AI4 FY25: 0 production. JS1 68% complete, first production mid-CY2027 with capex US$7.0-7.4B (see Row 70). JS2 11% complete, first production shifted to FY2031 (see Row 71). *** AI Sec 6 Potash (Jansen, BHP 100%): Reserves 1,070 Mt Probable @ 24.9% K2O (LOWER PATIENCE LAKE sub-member, underground). Cut-off grade 10.7% K2O. Metallurgical recovery 88%. Reserve pricing US$342/t (real basis, based on Nutrien 2011-2024 realised prices). Resources ~1,280 Mt Inferred @ 25.6% K2O (exclusive of reserves). Total lease area 1,156 km2 in Saskatchewan potash basin. JS1 capacity 4.15 Mtpa (first production mid-CY2027, capex US$7.0-7.4B). JS1+JS2 combined 8.5 Mtpa (JS2 first production FY2031). Long theoretical mine life given reserves ~1 Bt vs 8.5 Mtpa run rate. [status normalized "construction"-&gt;"under_construction" 2026-07-07] [capacity detail: tonnes MOP/year (JS1 nameplate)]</t>
        </is>
      </c>
      <c r="X10" s="0" t="inlineStr">
        <is>
          <t>underground</t>
        </is>
      </c>
      <c r="AA10" s="0" t="inlineStr">
        <is>
          <t>muriate of potash (MOP)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6" customWidth="1" style="74" min="1" max="1"/>
    <col width="45" customWidth="1" style="74" min="2" max="2"/>
    <col width="16" customWidth="1" style="74" min="3" max="3"/>
    <col width="13" customWidth="1" style="74" min="4" max="4"/>
    <col width="13" customWidth="1" style="74" min="5" max="5"/>
    <col width="40" customWidth="1" style="74" min="6" max="6"/>
    <col width="13" customWidth="1" style="74" min="7" max="7"/>
    <col width="45" customWidth="1" style="74" min="8" max="8"/>
    <col width="22" customWidth="1" style="74" min="9" max="9"/>
    <col width="70" customWidth="1" style="74" min="10" max="10"/>
  </cols>
  <sheetData>
    <row r="1">
      <c r="A1" s="87" t="inlineStr">
        <is>
          <t>row</t>
        </is>
      </c>
      <c r="B1" s="87" t="inlineStr">
        <is>
          <t>facility</t>
        </is>
      </c>
      <c r="C1" s="87" t="inlineStr">
        <is>
          <t>material</t>
        </is>
      </c>
      <c r="D1" s="87" t="inlineStr">
        <is>
          <t>stage</t>
        </is>
      </c>
      <c r="E1" s="87" t="inlineStr">
        <is>
          <t>capacity_tpy</t>
        </is>
      </c>
      <c r="F1" s="87" t="inlineStr">
        <is>
          <t>capacity_unit</t>
        </is>
      </c>
      <c r="G1" s="87" t="inlineStr">
        <is>
          <t>production_tpy</t>
        </is>
      </c>
      <c r="H1" s="87" t="inlineStr">
        <is>
          <t>production_unit</t>
        </is>
      </c>
      <c r="I1" s="87" t="inlineStr">
        <is>
          <t>class</t>
        </is>
      </c>
      <c r="J1" s="87" t="inlineStr">
        <is>
          <t>recommended action</t>
        </is>
      </c>
    </row>
    <row r="2">
      <c r="A2" s="86" t="n">
        <v>2</v>
      </c>
      <c r="B2" s="86" t="inlineStr">
        <is>
          <t>Greenbushes Lithium Mine</t>
        </is>
      </c>
      <c r="C2" s="86" t="inlineStr">
        <is>
          <t>Lithium</t>
        </is>
      </c>
      <c r="D2" s="86" t="inlineStr">
        <is>
          <t>ore</t>
        </is>
      </c>
      <c r="E2" s="86" t="n">
        <v>1500000</v>
      </c>
      <c r="F2" s="86" t="inlineStr"/>
      <c r="G2" s="86" t="n">
        <v>19000</v>
      </c>
      <c r="H2" s="86" t="inlineStr"/>
      <c r="I2" s="86" t="inlineStr">
        <is>
          <t>MISSING UNIT</t>
        </is>
      </c>
      <c r="J2" s="86" t="inlineStr">
        <is>
          <t>value likely correct — add explicit unit label (verify product basis in source)</t>
        </is>
      </c>
    </row>
    <row r="3">
      <c r="A3" s="86" t="n">
        <v>3</v>
      </c>
      <c r="B3" s="86" t="inlineStr">
        <is>
          <t>Greenbushes Lithium Mine</t>
        </is>
      </c>
      <c r="C3" s="86" t="inlineStr">
        <is>
          <t>Lithium</t>
        </is>
      </c>
      <c r="D3" s="86" t="inlineStr">
        <is>
          <t>ore</t>
        </is>
      </c>
      <c r="E3" s="86" t="n">
        <v>1500000</v>
      </c>
      <c r="F3" s="86" t="inlineStr"/>
      <c r="G3" s="86" t="n">
        <v>19000</v>
      </c>
      <c r="H3" s="86" t="inlineStr"/>
      <c r="I3" s="86" t="inlineStr">
        <is>
          <t>MISSING UNIT</t>
        </is>
      </c>
      <c r="J3" s="86" t="inlineStr">
        <is>
          <t>value likely correct — add explicit unit label (verify product basis in source)</t>
        </is>
      </c>
    </row>
    <row r="4">
      <c r="A4" s="86" t="n">
        <v>4</v>
      </c>
      <c r="B4" s="86" t="inlineStr">
        <is>
          <t>Wodgina Lithium Mine</t>
        </is>
      </c>
      <c r="C4" s="86" t="inlineStr">
        <is>
          <t>Lithium</t>
        </is>
      </c>
      <c r="D4" s="86" t="inlineStr">
        <is>
          <t>ore</t>
        </is>
      </c>
      <c r="E4" s="86" t="n">
        <v>750000</v>
      </c>
      <c r="F4" s="86" t="inlineStr"/>
      <c r="G4" s="86" t="n">
        <v>8000</v>
      </c>
      <c r="H4" s="86" t="inlineStr"/>
      <c r="I4" s="86" t="inlineStr">
        <is>
          <t>MISSING UNIT</t>
        </is>
      </c>
      <c r="J4" s="86" t="inlineStr">
        <is>
          <t>value likely correct — add explicit unit label (verify product basis in source)</t>
        </is>
      </c>
    </row>
    <row r="5">
      <c r="A5" s="86" t="n">
        <v>5</v>
      </c>
      <c r="B5" s="86" t="inlineStr">
        <is>
          <t>Wodgina Lithium Mine</t>
        </is>
      </c>
      <c r="C5" s="86" t="inlineStr">
        <is>
          <t>Lithium</t>
        </is>
      </c>
      <c r="D5" s="86" t="inlineStr">
        <is>
          <t>ore</t>
        </is>
      </c>
      <c r="E5" s="86" t="n">
        <v>750000</v>
      </c>
      <c r="F5" s="86" t="inlineStr"/>
      <c r="G5" s="86" t="n">
        <v>8000</v>
      </c>
      <c r="H5" s="86" t="inlineStr"/>
      <c r="I5" s="86" t="inlineStr">
        <is>
          <t>MISSING UNIT</t>
        </is>
      </c>
      <c r="J5" s="86" t="inlineStr">
        <is>
          <t>value likely correct — add explicit unit label (verify product basis in source)</t>
        </is>
      </c>
    </row>
    <row r="6">
      <c r="A6" s="86" t="n">
        <v>53</v>
      </c>
      <c r="B6" s="86" t="inlineStr">
        <is>
          <t>Cataby Mineral Sands Operation</t>
        </is>
      </c>
      <c r="C6" s="86" t="inlineStr">
        <is>
          <t>Titanium</t>
        </is>
      </c>
      <c r="D6" s="86" t="inlineStr">
        <is>
          <t>ore</t>
        </is>
      </c>
      <c r="E6" s="86" t="n">
        <v>559000</v>
      </c>
      <c r="F6" s="86" t="inlineStr"/>
      <c r="G6" s="86" t="n"/>
      <c r="H6" s="86" t="inlineStr"/>
      <c r="I6" s="86" t="inlineStr">
        <is>
          <t>MISSING UNIT</t>
        </is>
      </c>
      <c r="J6" s="86" t="inlineStr">
        <is>
          <t>value likely correct — add explicit unit label (verify product basis in source)</t>
        </is>
      </c>
    </row>
    <row r="7">
      <c r="A7" s="86" t="n">
        <v>54</v>
      </c>
      <c r="B7" s="86" t="inlineStr">
        <is>
          <t>Jacinth‑Ambrosia</t>
        </is>
      </c>
      <c r="C7" s="86" t="inlineStr">
        <is>
          <t>Titanium</t>
        </is>
      </c>
      <c r="D7" s="86" t="inlineStr">
        <is>
          <t>ore</t>
        </is>
      </c>
      <c r="E7" s="86" t="n">
        <v>295000</v>
      </c>
      <c r="F7" s="86" t="inlineStr"/>
      <c r="G7" s="86" t="n"/>
      <c r="H7" s="86" t="inlineStr"/>
      <c r="I7" s="86" t="inlineStr">
        <is>
          <t>MISSING UNIT</t>
        </is>
      </c>
      <c r="J7" s="86" t="inlineStr">
        <is>
          <t>value likely correct — add explicit unit label (verify product basis in source)</t>
        </is>
      </c>
    </row>
    <row r="8">
      <c r="A8" s="86" t="n">
        <v>55</v>
      </c>
      <c r="B8" s="86" t="inlineStr">
        <is>
          <t>Narngulu Mineral Separation Plant</t>
        </is>
      </c>
      <c r="C8" s="86" t="inlineStr">
        <is>
          <t>Titanium</t>
        </is>
      </c>
      <c r="D8" s="86" t="inlineStr">
        <is>
          <t>concentrate</t>
        </is>
      </c>
      <c r="E8" s="86" t="n">
        <v>559000</v>
      </c>
      <c r="F8" s="86" t="inlineStr"/>
      <c r="G8" s="86" t="n"/>
      <c r="H8" s="86" t="inlineStr"/>
      <c r="I8" s="86" t="inlineStr">
        <is>
          <t>MISSING UNIT</t>
        </is>
      </c>
      <c r="J8" s="86" t="inlineStr">
        <is>
          <t>value likely correct — add explicit unit label (verify product basis in source)</t>
        </is>
      </c>
    </row>
    <row r="9">
      <c r="A9" s="86" t="n">
        <v>56</v>
      </c>
      <c r="B9" s="86" t="inlineStr">
        <is>
          <t>Narngulu Mineral Separation Plant</t>
        </is>
      </c>
      <c r="C9" s="86" t="inlineStr">
        <is>
          <t>Zirconium</t>
        </is>
      </c>
      <c r="D9" s="86" t="inlineStr">
        <is>
          <t>refined</t>
        </is>
      </c>
      <c r="E9" s="86" t="n">
        <v>270000</v>
      </c>
      <c r="F9" s="86" t="inlineStr"/>
      <c r="G9" s="86" t="n"/>
      <c r="H9" s="86" t="inlineStr"/>
      <c r="I9" s="86" t="inlineStr">
        <is>
          <t>MISSING UNIT</t>
        </is>
      </c>
      <c r="J9" s="86" t="inlineStr">
        <is>
          <t>value likely correct — add explicit unit label (verify product basis in source)</t>
        </is>
      </c>
    </row>
    <row r="10">
      <c r="A10" s="86" t="n">
        <v>57</v>
      </c>
      <c r="B10" s="86" t="inlineStr">
        <is>
          <t>Narngulu / Capel Kilns</t>
        </is>
      </c>
      <c r="C10" s="86" t="inlineStr">
        <is>
          <t>Titanium</t>
        </is>
      </c>
      <c r="D10" s="86" t="inlineStr">
        <is>
          <t>refined</t>
        </is>
      </c>
      <c r="E10" s="86" t="n">
        <v>78000</v>
      </c>
      <c r="F10" s="86" t="inlineStr"/>
      <c r="G10" s="86" t="n"/>
      <c r="H10" s="86" t="inlineStr"/>
      <c r="I10" s="86" t="inlineStr">
        <is>
          <t>MISSING UNIT</t>
        </is>
      </c>
      <c r="J10" s="86" t="inlineStr">
        <is>
          <t>value likely correct — add explicit unit label (verify product basis in source)</t>
        </is>
      </c>
    </row>
    <row r="11">
      <c r="A11" s="86" t="n">
        <v>60</v>
      </c>
      <c r="B11" s="86" t="inlineStr">
        <is>
          <t>Toyo Smelter &amp; Refinery</t>
        </is>
      </c>
      <c r="C11" s="86" t="inlineStr">
        <is>
          <t>Copper</t>
        </is>
      </c>
      <c r="D11" s="86" t="inlineStr">
        <is>
          <t>refined</t>
        </is>
      </c>
      <c r="E11" s="86" t="n">
        <v>443000</v>
      </c>
      <c r="F11" s="86" t="inlineStr"/>
      <c r="G11" s="86" t="n"/>
      <c r="H11" s="86" t="inlineStr"/>
      <c r="I11" s="86" t="inlineStr">
        <is>
          <t>MISSING UNIT</t>
        </is>
      </c>
      <c r="J11" s="86" t="inlineStr">
        <is>
          <t>value likely correct — add explicit unit label (verify product basis in source)</t>
        </is>
      </c>
    </row>
    <row r="12">
      <c r="A12" s="86" t="n">
        <v>61</v>
      </c>
      <c r="B12" s="86" t="inlineStr">
        <is>
          <t>Niihama Nickel Refinery</t>
        </is>
      </c>
      <c r="C12" s="86" t="inlineStr">
        <is>
          <t>Nickel</t>
        </is>
      </c>
      <c r="D12" s="86" t="inlineStr">
        <is>
          <t>refined</t>
        </is>
      </c>
      <c r="E12" s="86" t="n">
        <v>64000</v>
      </c>
      <c r="F12" s="86" t="inlineStr"/>
      <c r="G12" s="86" t="n"/>
      <c r="H12" s="86" t="inlineStr"/>
      <c r="I12" s="86" t="inlineStr">
        <is>
          <t>MISSING UNIT</t>
        </is>
      </c>
      <c r="J12" s="86" t="inlineStr">
        <is>
          <t>value likely correct — add explicit unit label (verify product basis in source)</t>
        </is>
      </c>
    </row>
    <row r="13">
      <c r="A13" s="86" t="n">
        <v>62</v>
      </c>
      <c r="B13" s="86" t="inlineStr">
        <is>
          <t>Coral Bay HPAL Plant</t>
        </is>
      </c>
      <c r="C13" s="86" t="inlineStr">
        <is>
          <t>Nickel</t>
        </is>
      </c>
      <c r="D13" s="86" t="inlineStr">
        <is>
          <t>intermediate</t>
        </is>
      </c>
      <c r="E13" s="86" t="n">
        <v>26500</v>
      </c>
      <c r="F13" s="86" t="inlineStr"/>
      <c r="G13" s="86" t="n"/>
      <c r="H13" s="86" t="inlineStr"/>
      <c r="I13" s="86" t="inlineStr">
        <is>
          <t>MISSING UNIT</t>
        </is>
      </c>
      <c r="J13" s="86" t="inlineStr">
        <is>
          <t>value likely correct — add explicit unit label (verify product basis in source)</t>
        </is>
      </c>
    </row>
    <row r="14">
      <c r="A14" s="86" t="n">
        <v>64</v>
      </c>
      <c r="B14" s="86" t="inlineStr">
        <is>
          <t>Toyo LIB Recycling Facility</t>
        </is>
      </c>
      <c r="C14" s="86" t="inlineStr">
        <is>
          <t>Nickel</t>
        </is>
      </c>
      <c r="D14" s="86" t="inlineStr">
        <is>
          <t>refined</t>
        </is>
      </c>
      <c r="E14" s="86" t="n"/>
      <c r="F14" s="86" t="inlineStr"/>
      <c r="G14" s="86" t="n">
        <v>10000</v>
      </c>
      <c r="H14" s="86" t="inlineStr"/>
      <c r="I14" s="86" t="inlineStr">
        <is>
          <t>MISSING UNIT</t>
        </is>
      </c>
      <c r="J14" s="86" t="inlineStr">
        <is>
          <t>value likely correct — add explicit unit label (verify product basis in source)</t>
        </is>
      </c>
    </row>
    <row r="15">
      <c r="A15" s="86" t="n">
        <v>142</v>
      </c>
      <c r="B15" s="86" t="inlineStr">
        <is>
          <t>Mt Newman Operations</t>
        </is>
      </c>
      <c r="C15" s="86" t="inlineStr">
        <is>
          <t>Iron Ore</t>
        </is>
      </c>
      <c r="D15" s="86" t="inlineStr">
        <is>
          <t>ore</t>
        </is>
      </c>
      <c r="E15" s="86" t="n">
        <v>75000000</v>
      </c>
      <c r="F15" s="86" t="inlineStr">
        <is>
          <t>t/yr</t>
        </is>
      </c>
      <c r="G15" s="86" t="n">
        <v>54218000</v>
      </c>
      <c r="H15" s="86" t="inlineStr">
        <is>
          <t>tonnes iron ore (wet)</t>
        </is>
      </c>
      <c r="I15" s="86" t="inlineStr">
        <is>
          <t>OK — product basis</t>
        </is>
      </c>
      <c r="J15" s="86" t="inlineStr">
        <is>
          <t>ore/saleable-ore IS the saleable product at this stage; ensure ALL rows on the same (material,stage) node use the same basis</t>
        </is>
      </c>
    </row>
    <row r="16">
      <c r="A16" s="86" t="n">
        <v>143</v>
      </c>
      <c r="B16" s="86" t="inlineStr">
        <is>
          <t>Yandi</t>
        </is>
      </c>
      <c r="C16" s="86" t="inlineStr">
        <is>
          <t>Iron Ore</t>
        </is>
      </c>
      <c r="D16" s="86" t="inlineStr">
        <is>
          <t>ore</t>
        </is>
      </c>
      <c r="E16" s="86" t="n"/>
      <c r="F16" s="86" t="inlineStr"/>
      <c r="G16" s="86" t="n">
        <v>15890000</v>
      </c>
      <c r="H16" s="86" t="inlineStr">
        <is>
          <t>tonnes iron ore (wet)</t>
        </is>
      </c>
      <c r="I16" s="86" t="inlineStr">
        <is>
          <t>OK — product basis</t>
        </is>
      </c>
      <c r="J16" s="86" t="inlineStr">
        <is>
          <t>ore/saleable-ore IS the saleable product at this stage; ensure ALL rows on the same (material,stage) node use the same basis</t>
        </is>
      </c>
    </row>
    <row r="17">
      <c r="A17" s="86" t="n">
        <v>144</v>
      </c>
      <c r="B17" s="86" t="inlineStr">
        <is>
          <t>Mining Area C</t>
        </is>
      </c>
      <c r="C17" s="86" t="inlineStr">
        <is>
          <t>Iron Ore</t>
        </is>
      </c>
      <c r="D17" s="86" t="inlineStr">
        <is>
          <t>ore</t>
        </is>
      </c>
      <c r="E17" s="86" t="n"/>
      <c r="F17" s="86" t="inlineStr"/>
      <c r="G17" s="86" t="n">
        <v>119110000</v>
      </c>
      <c r="H17" s="86" t="inlineStr">
        <is>
          <t>tonnes iron ore (wet)</t>
        </is>
      </c>
      <c r="I17" s="86" t="inlineStr">
        <is>
          <t>OK — product basis</t>
        </is>
      </c>
      <c r="J17" s="86" t="inlineStr">
        <is>
          <t>ore/saleable-ore IS the saleable product at this stage; ensure ALL rows on the same (material,stage) node use the same basis</t>
        </is>
      </c>
    </row>
    <row r="18">
      <c r="A18" s="86" t="n">
        <v>146</v>
      </c>
      <c r="B18" s="86" t="inlineStr">
        <is>
          <t>Jimblebar</t>
        </is>
      </c>
      <c r="C18" s="86" t="inlineStr">
        <is>
          <t>Iron Ore</t>
        </is>
      </c>
      <c r="D18" s="86" t="inlineStr">
        <is>
          <t>ore</t>
        </is>
      </c>
      <c r="E18" s="86" t="n"/>
      <c r="F18" s="86" t="inlineStr"/>
      <c r="G18" s="86" t="n">
        <v>57274000</v>
      </c>
      <c r="H18" s="86" t="inlineStr">
        <is>
          <t>tonnes iron ore (wet, BHP 85% share)</t>
        </is>
      </c>
      <c r="I18" s="86" t="inlineStr">
        <is>
          <t>OK — product basis</t>
        </is>
      </c>
      <c r="J18" s="86" t="inlineStr">
        <is>
          <t>ore/saleable-ore IS the saleable product at this stage; ensure ALL rows on the same (material,stage) node use the same basis</t>
        </is>
      </c>
    </row>
    <row r="19">
      <c r="A19" s="86" t="n">
        <v>164</v>
      </c>
      <c r="B19" s="86" t="inlineStr">
        <is>
          <t>Hope Downs</t>
        </is>
      </c>
      <c r="C19" s="86" t="inlineStr">
        <is>
          <t>Iron Ore</t>
        </is>
      </c>
      <c r="D19" s="86" t="inlineStr">
        <is>
          <t>ore</t>
        </is>
      </c>
      <c r="E19" s="86" t="n"/>
      <c r="F19" s="86" t="inlineStr"/>
      <c r="G19" s="86" t="n">
        <v>36751000</v>
      </c>
      <c r="H19" s="86" t="inlineStr">
        <is>
          <t>tonnes iron ore</t>
        </is>
      </c>
      <c r="I19" s="86" t="inlineStr">
        <is>
          <t>OK — product basis</t>
        </is>
      </c>
      <c r="J19" s="86" t="inlineStr">
        <is>
          <t>ore/saleable-ore IS the saleable product at this stage; ensure ALL rows on the same (material,stage) node use the same basis</t>
        </is>
      </c>
    </row>
    <row r="20">
      <c r="A20" s="86" t="n">
        <v>165</v>
      </c>
      <c r="B20" s="86" t="inlineStr">
        <is>
          <t>Iron Ore Company of Canada</t>
        </is>
      </c>
      <c r="C20" s="86" t="inlineStr">
        <is>
          <t>Iron Ore</t>
        </is>
      </c>
      <c r="D20" s="86" t="inlineStr">
        <is>
          <t>concentrate</t>
        </is>
      </c>
      <c r="E20" s="86" t="n"/>
      <c r="F20" s="86" t="inlineStr"/>
      <c r="G20" s="86" t="n">
        <v>15905000</v>
      </c>
      <c r="H20" s="86" t="inlineStr">
        <is>
          <t>tonnes iron ore (pellets + concentrates)</t>
        </is>
      </c>
      <c r="I20" s="86" t="inlineStr">
        <is>
          <t>OK — product basis</t>
        </is>
      </c>
      <c r="J20" s="86" t="inlineStr">
        <is>
          <t>ore/saleable-ore IS the saleable product at this stage; ensure ALL rows on the same (material,stage) node use the same basis</t>
        </is>
      </c>
    </row>
    <row r="21">
      <c r="A21" s="86" t="n">
        <v>166</v>
      </c>
      <c r="B21" s="86" t="inlineStr">
        <is>
          <t>Robe Valley</t>
        </is>
      </c>
      <c r="C21" s="86" t="inlineStr">
        <is>
          <t>Iron Ore</t>
        </is>
      </c>
      <c r="D21" s="86" t="inlineStr">
        <is>
          <t>ore</t>
        </is>
      </c>
      <c r="E21" s="86" t="n"/>
      <c r="F21" s="86" t="inlineStr"/>
      <c r="G21" s="86" t="n">
        <v>28610000</v>
      </c>
      <c r="H21" s="86" t="inlineStr">
        <is>
          <t>tonnes iron ore</t>
        </is>
      </c>
      <c r="I21" s="86" t="inlineStr">
        <is>
          <t>OK — product basis</t>
        </is>
      </c>
      <c r="J21" s="86" t="inlineStr">
        <is>
          <t>ore/saleable-ore IS the saleable product at this stage; ensure ALL rows on the same (material,stage) node use the same basis</t>
        </is>
      </c>
    </row>
    <row r="22">
      <c r="A22" s="86" t="n">
        <v>167</v>
      </c>
      <c r="B22" s="86" t="inlineStr">
        <is>
          <t>West Angelas</t>
        </is>
      </c>
      <c r="C22" s="86" t="inlineStr">
        <is>
          <t>Iron Ore</t>
        </is>
      </c>
      <c r="D22" s="86" t="inlineStr">
        <is>
          <t>ore</t>
        </is>
      </c>
      <c r="E22" s="86" t="n"/>
      <c r="F22" s="86" t="inlineStr"/>
      <c r="G22" s="86" t="n">
        <v>32326000</v>
      </c>
      <c r="H22" s="86" t="inlineStr">
        <is>
          <t>tonnes iron ore</t>
        </is>
      </c>
      <c r="I22" s="86" t="inlineStr">
        <is>
          <t>OK — product basis</t>
        </is>
      </c>
      <c r="J22" s="86" t="inlineStr">
        <is>
          <t>ore/saleable-ore IS the saleable product at this stage; ensure ALL rows on the same (material,stage) node use the same basis</t>
        </is>
      </c>
    </row>
    <row r="23">
      <c r="A23" s="86" t="n">
        <v>168</v>
      </c>
      <c r="B23" s="86" t="inlineStr">
        <is>
          <t>Simandou</t>
        </is>
      </c>
      <c r="C23" s="86" t="inlineStr">
        <is>
          <t>Iron Ore</t>
        </is>
      </c>
      <c r="D23" s="86" t="inlineStr">
        <is>
          <t>ore</t>
        </is>
      </c>
      <c r="E23" s="86" t="n"/>
      <c r="F23" s="86" t="inlineStr"/>
      <c r="G23" s="86" t="n">
        <v>2271000</v>
      </c>
      <c r="H23" s="86" t="inlineStr">
        <is>
          <t>tonnes crushed ore (wet metric tonnes)</t>
        </is>
      </c>
      <c r="I23" s="86" t="inlineStr">
        <is>
          <t>WRONG BASIS</t>
        </is>
      </c>
      <c r="J23" s="86" t="inlineStr">
        <is>
          <t>value is mill/ore throughput, not saleable product — replace with product-basis figure from the filing or blank it with a note</t>
        </is>
      </c>
    </row>
    <row r="24">
      <c r="A24" s="86" t="n">
        <v>234</v>
      </c>
      <c r="B24" s="86" t="inlineStr">
        <is>
          <t>IMMSA Charcas Mine</t>
        </is>
      </c>
      <c r="C24" s="86" t="inlineStr">
        <is>
          <t>Zinc</t>
        </is>
      </c>
      <c r="D24" s="86" t="inlineStr">
        <is>
          <t>ore</t>
        </is>
      </c>
      <c r="E24" s="86" t="n">
        <v>1460000</v>
      </c>
      <c r="F24" s="86" t="inlineStr">
        <is>
          <t>t/yr</t>
        </is>
      </c>
      <c r="G24" s="86" t="n">
        <v>1274600</v>
      </c>
      <c r="H24" s="86" t="inlineStr">
        <is>
          <t>mt ore milled/yr (FY2025, 87.3%)</t>
        </is>
      </c>
      <c r="I24" s="86" t="inlineStr">
        <is>
          <t>WRONG BASIS</t>
        </is>
      </c>
      <c r="J24" s="86" t="inlineStr">
        <is>
          <t>value is mill/ore throughput, not saleable product — replace with product-basis figure from the filing or blank it with a note</t>
        </is>
      </c>
    </row>
    <row r="25">
      <c r="A25" s="86" t="n">
        <v>235</v>
      </c>
      <c r="B25" s="86" t="inlineStr">
        <is>
          <t>IMMSA San Martin Mine</t>
        </is>
      </c>
      <c r="C25" s="86" t="inlineStr">
        <is>
          <t>Zinc</t>
        </is>
      </c>
      <c r="D25" s="86" t="inlineStr">
        <is>
          <t>ore</t>
        </is>
      </c>
      <c r="E25" s="86" t="n">
        <v>1606000</v>
      </c>
      <c r="F25" s="86" t="inlineStr">
        <is>
          <t>t/yr</t>
        </is>
      </c>
      <c r="G25" s="86" t="n">
        <v>1457300</v>
      </c>
      <c r="H25" s="86" t="inlineStr">
        <is>
          <t>mt ore milled/yr (FY2025, 90.7%)</t>
        </is>
      </c>
      <c r="I25" s="86" t="inlineStr">
        <is>
          <t>WRONG BASIS</t>
        </is>
      </c>
      <c r="J25" s="86" t="inlineStr">
        <is>
          <t>value is mill/ore throughput, not saleable product — replace with product-basis figure from the filing or blank it with a note</t>
        </is>
      </c>
    </row>
    <row r="26">
      <c r="A26" s="86" t="n">
        <v>236</v>
      </c>
      <c r="B26" s="86" t="inlineStr">
        <is>
          <t>IMMSA Santa Barbara Mine</t>
        </is>
      </c>
      <c r="C26" s="86" t="inlineStr">
        <is>
          <t>Zinc</t>
        </is>
      </c>
      <c r="D26" s="86" t="inlineStr">
        <is>
          <t>ore</t>
        </is>
      </c>
      <c r="E26" s="86" t="n">
        <v>2190000</v>
      </c>
      <c r="F26" s="86" t="inlineStr">
        <is>
          <t>t/yr</t>
        </is>
      </c>
      <c r="G26" s="86" t="n">
        <v>1800000</v>
      </c>
      <c r="H26" s="86" t="inlineStr">
        <is>
          <t>mt ore milled/yr (FY2025, 82.2%)</t>
        </is>
      </c>
      <c r="I26" s="86" t="inlineStr">
        <is>
          <t>WRONG BASIS</t>
        </is>
      </c>
      <c r="J26" s="86" t="inlineStr">
        <is>
          <t>value is mill/ore throughput, not saleable product — replace with product-basis figure from the filing or blank it with a note</t>
        </is>
      </c>
    </row>
    <row r="27">
      <c r="A27" s="86" t="n">
        <v>245</v>
      </c>
      <c r="B27" s="86" t="inlineStr">
        <is>
          <t>Tenke Fungurume Copper-Cobalt Mine (TFM)</t>
        </is>
      </c>
      <c r="C27" s="86" t="inlineStr">
        <is>
          <t>Cobalt</t>
        </is>
      </c>
      <c r="D27" s="86" t="inlineStr">
        <is>
          <t>intermediate</t>
        </is>
      </c>
      <c r="E27" s="86" t="n">
        <v>37000</v>
      </c>
      <c r="F27" s="86" t="inlineStr">
        <is>
          <t>t contained Co in hydroxide/yr (CMOC stated capacity)</t>
        </is>
      </c>
      <c r="G27" s="86" t="n">
        <v>24300000</v>
      </c>
      <c r="H27" s="86" t="inlineStr">
        <is>
          <t>per-mine Co output NOT disclosed (CMOC total 114kt FY2024, TFM+KFM com</t>
        </is>
      </c>
      <c r="I27" s="86" t="inlineStr">
        <is>
          <t>FIXED in v44</t>
        </is>
      </c>
      <c r="J27" s="86" t="inlineStr">
        <is>
          <t>normalized to contained-Co basis this version</t>
        </is>
      </c>
    </row>
    <row r="28">
      <c r="A28" s="86" t="n">
        <v>246</v>
      </c>
      <c r="B28" s="86" t="inlineStr">
        <is>
          <t>Kisanfu Copper-Cobalt Mine (KFM)</t>
        </is>
      </c>
      <c r="C28" s="86" t="inlineStr">
        <is>
          <t>Cobalt</t>
        </is>
      </c>
      <c r="D28" s="86" t="inlineStr">
        <is>
          <t>intermediate</t>
        </is>
      </c>
      <c r="E28" s="86" t="n">
        <v>50000</v>
      </c>
      <c r="F28" s="86" t="inlineStr">
        <is>
          <t>t contained Co in hydroxide/yr (CMOC stated capacity)</t>
        </is>
      </c>
      <c r="G28" s="86" t="n">
        <v>6900000</v>
      </c>
      <c r="H28" s="86" t="inlineStr">
        <is>
          <t>per-mine Co output NOT disclosed (CMOC total 114kt FY2024; Benchmark e</t>
        </is>
      </c>
      <c r="I28" s="86" t="inlineStr">
        <is>
          <t>FIXED in v44</t>
        </is>
      </c>
      <c r="J28" s="86" t="inlineStr">
        <is>
          <t>normalized to contained-Co basis this version</t>
        </is>
      </c>
    </row>
    <row r="29">
      <c r="A29" s="86" t="n">
        <v>247</v>
      </c>
      <c r="B29" s="86" t="inlineStr">
        <is>
          <t>Sandaozhuang Mo-W Mine</t>
        </is>
      </c>
      <c r="C29" s="86" t="inlineStr">
        <is>
          <t>Molybdenum</t>
        </is>
      </c>
      <c r="D29" s="86" t="inlineStr">
        <is>
          <t>ore</t>
        </is>
      </c>
      <c r="E29" s="86" t="n"/>
      <c r="F29" s="86" t="inlineStr"/>
      <c r="G29" s="86" t="n">
        <v>7500000</v>
      </c>
      <c r="H29" s="86" t="inlineStr">
        <is>
          <t>mt industrial ore throughput/yr (FY2025, Chinese standards, excl. low-</t>
        </is>
      </c>
      <c r="I29" s="86" t="inlineStr">
        <is>
          <t>WRONG BASIS</t>
        </is>
      </c>
      <c r="J29" s="86" t="inlineStr">
        <is>
          <t>value is mill/ore throughput, not saleable product — replace with product-basis figure from the filing or blank it with a note</t>
        </is>
      </c>
    </row>
    <row r="30">
      <c r="A30" s="86" t="n">
        <v>248</v>
      </c>
      <c r="B30" s="86" t="inlineStr">
        <is>
          <t>Shangfanggou Mo-Fe Mine (Fuchuan Mining JV)</t>
        </is>
      </c>
      <c r="C30" s="86" t="inlineStr">
        <is>
          <t>Molybdenum</t>
        </is>
      </c>
      <c r="D30" s="86" t="inlineStr">
        <is>
          <t>ore</t>
        </is>
      </c>
      <c r="E30" s="86" t="n"/>
      <c r="F30" s="86" t="inlineStr"/>
      <c r="G30" s="86" t="n">
        <v>2600000</v>
      </c>
      <c r="H30" s="86" t="inlineStr">
        <is>
          <t>mt ore throughput/yr (FY2025)</t>
        </is>
      </c>
      <c r="I30" s="86" t="inlineStr">
        <is>
          <t>WRONG BASIS</t>
        </is>
      </c>
      <c r="J30" s="86" t="inlineStr">
        <is>
          <t>value is mill/ore throughput, not saleable product — replace with product-basis figure from the filing or blank it with a note</t>
        </is>
      </c>
    </row>
    <row r="31">
      <c r="A31" s="86" t="n">
        <v>279</v>
      </c>
      <c r="B31" s="86" t="inlineStr">
        <is>
          <t>GEMCO Manganese Mine (Groote Eylandt)</t>
        </is>
      </c>
      <c r="C31" s="86" t="inlineStr">
        <is>
          <t>Manganese</t>
        </is>
      </c>
      <c r="D31" s="86" t="inlineStr">
        <is>
          <t>concentrate</t>
        </is>
      </c>
      <c r="E31" s="86" t="n"/>
      <c r="F31" s="86" t="inlineStr"/>
      <c r="G31" s="86" t="n">
        <v>1106000</v>
      </c>
      <c r="H31" s="86" t="inlineStr">
        <is>
          <t>wmt saleable Mn ore/yr (FY-Jun-2025, cyclone-recovery year; normalized</t>
        </is>
      </c>
      <c r="I31" s="86" t="inlineStr">
        <is>
          <t>OK — product basis</t>
        </is>
      </c>
      <c r="J31" s="86" t="inlineStr">
        <is>
          <t>ore/saleable-ore IS the saleable product at this stage; ensure ALL rows on the same (material,stage) node use the same basis</t>
        </is>
      </c>
    </row>
    <row r="32">
      <c r="A32" s="86" t="n">
        <v>280</v>
      </c>
      <c r="B32" s="86" t="inlineStr">
        <is>
          <t>Hotazel Manganese Mines (Wessels + Mamatwan)</t>
        </is>
      </c>
      <c r="C32" s="86" t="inlineStr">
        <is>
          <t>Manganese</t>
        </is>
      </c>
      <c r="D32" s="86" t="inlineStr">
        <is>
          <t>ore</t>
        </is>
      </c>
      <c r="E32" s="86" t="n"/>
      <c r="F32" s="86" t="inlineStr"/>
      <c r="G32" s="86" t="n">
        <v>2151000</v>
      </c>
      <c r="H32" s="86" t="inlineStr">
        <is>
          <t>wmt saleable Mn ore/yr (FY-Jun-2025)</t>
        </is>
      </c>
      <c r="I32" s="86" t="inlineStr">
        <is>
          <t>OK — product basis</t>
        </is>
      </c>
      <c r="J32" s="86" t="inlineStr">
        <is>
          <t>ore/saleable-ore IS the saleable product at this stage; ensure ALL rows on the same (material,stage) node use the same basis</t>
        </is>
      </c>
    </row>
    <row r="33">
      <c r="A33" s="86" t="n">
        <v>290</v>
      </c>
      <c r="B33" s="86" t="inlineStr">
        <is>
          <t>Katanga (KCC) Copper-Cobalt Complex</t>
        </is>
      </c>
      <c r="C33" s="86" t="inlineStr">
        <is>
          <t>Cobalt</t>
        </is>
      </c>
      <c r="D33" s="86" t="inlineStr">
        <is>
          <t>intermediate</t>
        </is>
      </c>
      <c r="E33" s="86" t="n"/>
      <c r="F33" s="86" t="inlineStr">
        <is>
          <t>not cleanly published — pending verification</t>
        </is>
      </c>
      <c r="G33" s="86" t="n">
        <v>27000</v>
      </c>
      <c r="H33" s="86" t="inlineStr">
        <is>
          <t>t contained Co/yr (FY2024, Glencore per-asset production report; FY202</t>
        </is>
      </c>
      <c r="I33" s="86" t="inlineStr">
        <is>
          <t>FIXED in v44</t>
        </is>
      </c>
      <c r="J33" s="86" t="inlineStr">
        <is>
          <t>normalized to contained-Co basis this version</t>
        </is>
      </c>
    </row>
    <row r="34">
      <c r="A34" s="86" t="n">
        <v>291</v>
      </c>
      <c r="B34" s="86" t="inlineStr">
        <is>
          <t>Mutanda Copper-Cobalt Mine</t>
        </is>
      </c>
      <c r="C34" s="86" t="inlineStr">
        <is>
          <t>Cobalt</t>
        </is>
      </c>
      <c r="D34" s="86" t="inlineStr">
        <is>
          <t>intermediate</t>
        </is>
      </c>
      <c r="E34" s="86" t="n"/>
      <c r="F34" s="86" t="inlineStr">
        <is>
          <t>not published</t>
        </is>
      </c>
      <c r="G34" s="86" t="n">
        <v>8000</v>
      </c>
      <c r="H34" s="86" t="inlineStr">
        <is>
          <t>t contained Co/yr (FY2024, Glencore per-asset production report; FY202</t>
        </is>
      </c>
      <c r="I34" s="86" t="inlineStr">
        <is>
          <t>FIXED in v44</t>
        </is>
      </c>
      <c r="J34" s="86" t="inlineStr">
        <is>
          <t>normalized to contained-Co basis this version</t>
        </is>
      </c>
    </row>
    <row r="35">
      <c r="A35" s="86" t="n">
        <v>292</v>
      </c>
      <c r="B35" s="86" t="inlineStr">
        <is>
          <t>Murrin Murrin Nickel-Cobalt Operation</t>
        </is>
      </c>
      <c r="C35" s="86" t="inlineStr">
        <is>
          <t>Nickel</t>
        </is>
      </c>
      <c r="D35" s="86" t="inlineStr">
        <is>
          <t>refined</t>
        </is>
      </c>
      <c r="E35" s="86" t="n"/>
      <c r="F35" s="86" t="inlineStr"/>
      <c r="G35" s="86" t="n">
        <v>32100</v>
      </c>
      <c r="H35" s="86" t="inlineStr">
        <is>
          <t>t Ni metal/yr (FY2025, STATED per-asset in FY25 report quarterly table</t>
        </is>
      </c>
      <c r="I35" s="86" t="inlineStr">
        <is>
          <t>WRONG BASIS</t>
        </is>
      </c>
      <c r="J35" s="86" t="inlineStr">
        <is>
          <t>value is mill/ore throughput, not saleable product — replace with product-basis figure from the filing or blank it with a note</t>
        </is>
      </c>
    </row>
    <row r="36">
      <c r="A36" s="86" t="n">
        <v>295</v>
      </c>
      <c r="B36" s="86" t="inlineStr">
        <is>
          <t>Collahuasi Copper Mine (44%)</t>
        </is>
      </c>
      <c r="C36" s="86" t="inlineStr">
        <is>
          <t>Copper</t>
        </is>
      </c>
      <c r="D36" s="86" t="inlineStr">
        <is>
          <t>concentrate</t>
        </is>
      </c>
      <c r="E36" s="86" t="n"/>
      <c r="F36" s="86" t="inlineStr"/>
      <c r="G36" s="86" t="n">
        <v>177700</v>
      </c>
      <c r="H36" s="86" t="inlineStr">
        <is>
          <t>t Cu in concentrate/yr (FY2025, Glencore 44% share, -28%)</t>
        </is>
      </c>
      <c r="I36" s="86" t="inlineStr">
        <is>
          <t>WRONG BASIS</t>
        </is>
      </c>
      <c r="J36" s="86" t="inlineStr">
        <is>
          <t>value is mill/ore throughput, not saleable product — replace with product-basis figure from the filing or blank it with a note</t>
        </is>
      </c>
    </row>
    <row r="37">
      <c r="A37" s="86" t="n">
        <v>297</v>
      </c>
      <c r="B37" s="86" t="inlineStr">
        <is>
          <t>Mount Isa Mines Complex</t>
        </is>
      </c>
      <c r="C37" s="86" t="inlineStr">
        <is>
          <t>Zinc</t>
        </is>
      </c>
      <c r="D37" s="86" t="inlineStr">
        <is>
          <t>concentrate</t>
        </is>
      </c>
      <c r="E37" s="86" t="n"/>
      <c r="F37" s="86" t="inlineStr"/>
      <c r="G37" s="86" t="n">
        <v>288200</v>
      </c>
      <c r="H37" s="86" t="inlineStr">
        <is>
          <t>t Zn in concentrate/yr (FY2025; INCL. Lady Loretta ~110kt which reache</t>
        </is>
      </c>
      <c r="I37" s="86" t="inlineStr">
        <is>
          <t>WRONG BASIS</t>
        </is>
      </c>
      <c r="J37" s="86" t="inlineStr">
        <is>
          <t>value is mill/ore throughput, not saleable product — replace with product-basis figure from the filing or blank it with a note</t>
        </is>
      </c>
    </row>
    <row r="38">
      <c r="A38" s="86" t="n">
        <v>304</v>
      </c>
      <c r="B38" s="86" t="inlineStr">
        <is>
          <t>Antapaccay Copper Mine</t>
        </is>
      </c>
      <c r="C38" s="86" t="inlineStr">
        <is>
          <t>Copper</t>
        </is>
      </c>
      <c r="D38" s="86" t="inlineStr">
        <is>
          <t>concentrate</t>
        </is>
      </c>
      <c r="E38" s="86" t="n"/>
      <c r="F38" s="86" t="inlineStr"/>
      <c r="G38" s="86" t="n">
        <v>135900</v>
      </c>
      <c r="H38" s="86" t="inlineStr">
        <is>
          <t>t Cu/yr (FY2025, DERIVED: 130.7kt dept concentrates [Antapaccay-only c</t>
        </is>
      </c>
      <c r="I38" s="86" t="inlineStr">
        <is>
          <t>WRONG BASIS</t>
        </is>
      </c>
      <c r="J38" s="86" t="inlineStr">
        <is>
          <t>value is mill/ore throughput, not saleable product — replace with product-basis figure from the filing or blank it with a note</t>
        </is>
      </c>
    </row>
    <row r="39">
      <c r="A39" s="86" t="n">
        <v>316</v>
      </c>
      <c r="B39" s="86" t="inlineStr">
        <is>
          <t>Bombali Lithium Project (Sierra Leone)</t>
        </is>
      </c>
      <c r="C39" s="86" t="inlineStr">
        <is>
          <t>Lithium</t>
        </is>
      </c>
      <c r="D39" s="86" t="inlineStr">
        <is>
          <t>ore</t>
        </is>
      </c>
      <c r="E39" s="86" t="n">
        <v>2000000</v>
      </c>
      <c r="F39" s="86" t="inlineStr">
        <is>
          <t>t/yr</t>
        </is>
      </c>
      <c r="G39" s="86" t="n">
        <v>0</v>
      </c>
      <c r="H39" s="86" t="inlineStr"/>
      <c r="I39" s="86" t="inlineStr">
        <is>
          <t>IMPLAUSIBLE MAGNITUDE</t>
        </is>
      </c>
      <c r="J39" s="86" t="inlineStr">
        <is>
          <t>&gt;1Mt/yr for Lithium — almost certainly ore basis; verify</t>
        </is>
      </c>
    </row>
    <row r="40">
      <c r="A40" s="86" t="n">
        <v>317</v>
      </c>
      <c r="B40" s="86" t="inlineStr">
        <is>
          <t>Bailongtan Phosphate Mine (Kunming)</t>
        </is>
      </c>
      <c r="C40" s="86" t="inlineStr">
        <is>
          <t>Phosphate</t>
        </is>
      </c>
      <c r="D40" s="86" t="inlineStr">
        <is>
          <t>ore</t>
        </is>
      </c>
      <c r="E40" s="86" t="n">
        <v>400000</v>
      </c>
      <c r="F40" s="86" t="inlineStr">
        <is>
          <t>t/yr</t>
        </is>
      </c>
      <c r="G40" s="86" t="n">
        <v>402000</v>
      </c>
      <c r="H40" s="86" t="inlineStr">
        <is>
          <t>t raw ore/yr (FY2025 stated)</t>
        </is>
      </c>
      <c r="I40" s="86" t="inlineStr">
        <is>
          <t>OK — product basis</t>
        </is>
      </c>
      <c r="J40" s="86" t="inlineStr">
        <is>
          <t>ore/saleable-ore IS the saleable product at this stage; ensure ALL rows on the same (material,stage) node use the same basis</t>
        </is>
      </c>
    </row>
    <row r="41">
      <c r="A41" s="86" t="n">
        <v>318</v>
      </c>
      <c r="B41" s="86" t="inlineStr">
        <is>
          <t>Da'aozi Phosphate Mine (Kunming)</t>
        </is>
      </c>
      <c r="C41" s="86" t="inlineStr">
        <is>
          <t>Phosphate</t>
        </is>
      </c>
      <c r="D41" s="86" t="inlineStr">
        <is>
          <t>ore</t>
        </is>
      </c>
      <c r="E41" s="86" t="n">
        <v>600000</v>
      </c>
      <c r="F41" s="86" t="inlineStr">
        <is>
          <t>t/yr</t>
        </is>
      </c>
      <c r="G41" s="86" t="n">
        <v>601000</v>
      </c>
      <c r="H41" s="86" t="inlineStr">
        <is>
          <t>t raw ore/yr (FY2025 stated)</t>
        </is>
      </c>
      <c r="I41" s="86" t="inlineStr">
        <is>
          <t>OK — product basis</t>
        </is>
      </c>
      <c r="J41" s="86" t="inlineStr">
        <is>
          <t>ore/saleable-ore IS the saleable product at this stage; ensure ALL rows on the same (material,stage) node use the same basis</t>
        </is>
      </c>
    </row>
    <row r="42">
      <c r="A42" s="86" t="n">
        <v>341</v>
      </c>
      <c r="B42" s="86" t="inlineStr">
        <is>
          <t>Murrin Murrin Nickel-Cobalt Operation</t>
        </is>
      </c>
      <c r="C42" s="86" t="inlineStr">
        <is>
          <t>Cobalt</t>
        </is>
      </c>
      <c r="D42" s="86" t="inlineStr">
        <is>
          <t>refined</t>
        </is>
      </c>
      <c r="E42" s="86" t="n"/>
      <c r="F42" s="86" t="inlineStr"/>
      <c r="G42" s="86" t="n">
        <v>2200</v>
      </c>
      <c r="H42" s="86" t="inlineStr">
        <is>
          <t>t Co metal/yr (FY2025 stated; briquettes w/ Ni)</t>
        </is>
      </c>
      <c r="I42" s="86" t="inlineStr">
        <is>
          <t>FIXED in v44</t>
        </is>
      </c>
      <c r="J42" s="86" t="inlineStr">
        <is>
          <t>normalized to contained-Co basis this version</t>
        </is>
      </c>
    </row>
    <row r="44">
      <c r="B44" s="0" t="inlineStr">
        <is>
          <t>PRINCIPLE: basis = the facility's SALEABLE PRODUCT at its assigned stage (contained metal where the trade node is metal-denominated). Within one (material, stage) node ALL rows must share the same basis or facility-derived shares/HHI are meaningless. One stage per facility+material (DB constraint) = the OUTPUT stage.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2026-06-26T17:53:02Z</dcterms:created>
  <dcterms:modified xmlns:dcterms="http://purl.org/dc/terms/" xmlns:xsi="http://www.w3.org/2001/XMLSchema-instance" xsi:type="dcterms:W3CDTF">2026-07-17T16:47:50Z</dcterms:modified>
</cp:coreProperties>
</file>