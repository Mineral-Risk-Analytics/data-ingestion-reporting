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ility Seed" sheetId="1" state="visible" r:id="rId3"/>
    <sheet name="Critical Minerals" sheetId="2" state="visible" r:id="rId4"/>
    <sheet name="Valid Valu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<sst xmlns="http://schemas.openxmlformats.org/spreadsheetml/2006/main" count="286" uniqueCount="153">
  <si>
    <t xml:space="preserve">company_name</t>
  </si>
  <si>
    <t xml:space="preserve">company_country</t>
  </si>
  <si>
    <t xml:space="preserve">facility_name</t>
  </si>
  <si>
    <t xml:space="preserve">facility_type</t>
  </si>
  <si>
    <t xml:space="preserve">country</t>
  </si>
  <si>
    <t xml:space="preserve">region</t>
  </si>
  <si>
    <t xml:space="preserve">city</t>
  </si>
  <si>
    <t xml:space="preserve">lat</t>
  </si>
  <si>
    <t xml:space="preserve">lon</t>
  </si>
  <si>
    <t xml:space="preserve">status</t>
  </si>
  <si>
    <t xml:space="preserve">material_canonical</t>
  </si>
  <si>
    <t xml:space="preserve">capacity_tpy</t>
  </si>
  <si>
    <t xml:space="preserve">capacity_unit</t>
  </si>
  <si>
    <t xml:space="preserve">is_primary_product</t>
  </si>
  <si>
    <t xml:space="preserve">supply_chain_stage</t>
  </si>
  <si>
    <t xml:space="preserve">hs_code</t>
  </si>
  <si>
    <t xml:space="preserve">ownership_type</t>
  </si>
  <si>
    <t xml:space="preserve">ownership_pct</t>
  </si>
  <si>
    <t xml:space="preserve">source_url</t>
  </si>
  <si>
    <t xml:space="preserve">notes</t>
  </si>
  <si>
    <t xml:space="preserve">Legal entity name. Use the parent company name; the loader will dedup.</t>
  </si>
  <si>
    <t xml:space="preserve">ISO-2 country code where the company is HQ'd.</t>
  </si>
  <si>
    <t xml:space="preserve">Site name. Loader dedups facilities on (facility_name, country).</t>
  </si>
  <si>
    <t xml:space="preserve">One of: mine, refinery, smelter, concentrator, processing, recycling, cell_factory, pack_plant, r_and_d, hq, other</t>
  </si>
  <si>
    <t xml:space="preserve">ISO-2 of the FACILITY location (not the company HQ).</t>
  </si>
  <si>
    <t xml:space="preserve">State / province / oblast.</t>
  </si>
  <si>
    <t xml:space="preserve">Nearest town or city. Optional.</t>
  </si>
  <si>
    <t xml:space="preserve">Decimal degrees, signed. Optional but enables map view later.</t>
  </si>
  <si>
    <t xml:space="preserve">Decimal degrees, signed.</t>
  </si>
  <si>
    <t xml:space="preserve">One of: operating, planned, under_construction, mothballed, closed, care_maintenance. mothballed/closed/care_maintenance feed the operational pillar's 'at-risk capacity' calc.</t>
  </si>
  <si>
    <t xml:space="preserve">Must match canonical_name in materials table — see Critical Minerals tab.</t>
  </si>
  <si>
    <t xml:space="preserve">Annual nameplate capacity in capacity_unit. Number only.</t>
  </si>
  <si>
    <t xml:space="preserve">One of: t/yr, kt/yr, mt/yr, lb/yr, GWh/yr, other</t>
  </si>
  <si>
    <t xml:space="preserve">TRUE if this material is the facility's main product. FALSE for by-products (e.g. cobalt at a copper mine).</t>
  </si>
  <si>
    <t xml:space="preserve">One of: ore, concentrate, intermediate, refined, battery_grade, fabricated, scrap. Drives stage-specific scoring rollup.</t>
  </si>
  <si>
    <t xml:space="preserve">4- or 6-digit HS prefix. Loader resolves to hs_mapping_id. Optional but highly recommended.</t>
  </si>
  <si>
    <t xml:space="preserve">One of: operator, jv_partner, lessee, minority_stake, other</t>
  </si>
  <si>
    <t xml:space="preserve">0.0 – 1.0 fractional stake. NULL = unknown share.</t>
  </si>
  <si>
    <t xml:space="preserve">Where you got this row. Used for audit trail.</t>
  </si>
  <si>
    <t xml:space="preserve">Free text. Anything you want to flag.</t>
  </si>
  <si>
    <t xml:space="preserve">Albemarle Corporation</t>
  </si>
  <si>
    <t xml:space="preserve">US</t>
  </si>
  <si>
    <t xml:space="preserve">Kemerton Lithium Hydroxide Plant</t>
  </si>
  <si>
    <t xml:space="preserve">refinery</t>
  </si>
  <si>
    <t xml:space="preserve">AU</t>
  </si>
  <si>
    <t xml:space="preserve">Western Australia</t>
  </si>
  <si>
    <t xml:space="preserve">Kemerton</t>
  </si>
  <si>
    <t xml:space="preserve">operating</t>
  </si>
  <si>
    <t xml:space="preserve">Lithium</t>
  </si>
  <si>
    <t xml:space="preserve">t/yr</t>
  </si>
  <si>
    <t xml:space="preserve">TRUE</t>
  </si>
  <si>
    <t xml:space="preserve">refined</t>
  </si>
  <si>
    <t xml:space="preserve">2836.91</t>
  </si>
  <si>
    <t xml:space="preserve">jv_partner</t>
  </si>
  <si>
    <t xml:space="preserve">https://www.albemarle.com/businesses/lithium/kemerton</t>
  </si>
  <si>
    <t xml:space="preserve">JV with Mineral Resources Ltd (60/40); train 2 commissioning delayed</t>
  </si>
  <si>
    <t xml:space="preserve">Mineral Resources Ltd</t>
  </si>
  <si>
    <t xml:space="preserve">https://www.mineralresources.com.au/our-business/lithium/</t>
  </si>
  <si>
    <t xml:space="preserve">JV with Albemarle (60/40)</t>
  </si>
  <si>
    <t xml:space="preserve">↑ Two example rows showing how JVs are captured. Same facility (Kemerton) appears twice — once per company — with complementary ownership_pct (0.60 + 0.40 = 1.00). Loader will dedup the facility and create two CompanyFacility rows. Add real rows starting in row 6.</t>
  </si>
  <si>
    <t xml:space="preserve">Material</t>
  </si>
  <si>
    <t xml:space="preserve">Category</t>
  </si>
  <si>
    <t xml:space="preserve">Signal Rows</t>
  </si>
  <si>
    <t xml:space="preserve">HS Mappings</t>
  </si>
  <si>
    <t xml:space="preserve">Material Production Shares</t>
  </si>
  <si>
    <t xml:space="preserve">HS-Node Production Shares</t>
  </si>
  <si>
    <t xml:space="preserve">Risk Events</t>
  </si>
  <si>
    <t xml:space="preserve">Facilities</t>
  </si>
  <si>
    <t xml:space="preserve">IRA Critical</t>
  </si>
  <si>
    <t xml:space="preserve">EU CRMA Critical</t>
  </si>
  <si>
    <t xml:space="preserve">Recommended Tier</t>
  </si>
  <si>
    <t xml:space="preserve">Partner Priority</t>
  </si>
  <si>
    <t xml:space="preserve">Notes</t>
  </si>
  <si>
    <t xml:space="preserve">cathode_active</t>
  </si>
  <si>
    <t xml:space="preserve">Y</t>
  </si>
  <si>
    <t xml:space="preserve">Must-have. Light on facilities for refining narrative.</t>
  </si>
  <si>
    <t xml:space="preserve">Cobalt</t>
  </si>
  <si>
    <t xml:space="preserve">Must-have. Strong all around.</t>
  </si>
  <si>
    <t xml:space="preserve">Nickel</t>
  </si>
  <si>
    <t xml:space="preserve">Must-have. Strong.</t>
  </si>
  <si>
    <t xml:space="preserve">Rare Earth Elements</t>
  </si>
  <si>
    <t xml:space="preserve">component</t>
  </si>
  <si>
    <t xml:space="preserve">Silicon (Anode Grade)</t>
  </si>
  <si>
    <t xml:space="preserve">anode_active</t>
  </si>
  <si>
    <t xml:space="preserve">N</t>
  </si>
  <si>
    <t xml:space="preserve">Anode story but ZERO facilities — defer or seed first.</t>
  </si>
  <si>
    <t xml:space="preserve">Tungsten</t>
  </si>
  <si>
    <t xml:space="preserve">Recommended add: defense angle, strong facility coverage.</t>
  </si>
  <si>
    <t xml:space="preserve">Magnesium</t>
  </si>
  <si>
    <t xml:space="preserve">structural</t>
  </si>
  <si>
    <t xml:space="preserve">Strong, structural.</t>
  </si>
  <si>
    <t xml:space="preserve">Manganese</t>
  </si>
  <si>
    <t xml:space="preserve">Recommended add: cathode-relevant, 400 facilities.</t>
  </si>
  <si>
    <t xml:space="preserve">Aluminum</t>
  </si>
  <si>
    <t xml:space="preserve">Recommended add: strong, structural.</t>
  </si>
  <si>
    <t xml:space="preserve">Chromium</t>
  </si>
  <si>
    <t xml:space="preserve">Strong.</t>
  </si>
  <si>
    <t xml:space="preserve">Copper</t>
  </si>
  <si>
    <t xml:space="preserve">current_collector</t>
  </si>
  <si>
    <t xml:space="preserve">Must-have. Best facility coverage in DB.</t>
  </si>
  <si>
    <t xml:space="preserve">Natural Graphite</t>
  </si>
  <si>
    <t xml:space="preserve">Must-have. OK coverage; 6 HS mappings is thinner side.</t>
  </si>
  <si>
    <t xml:space="preserve">Iron Ore (LFP Grade)</t>
  </si>
  <si>
    <t xml:space="preserve">LFP narrative; no IRA/CRMA critical-list flag.</t>
  </si>
  <si>
    <t xml:space="preserve">Phosphate (Battery Grade)</t>
  </si>
  <si>
    <t xml:space="preserve">Must-have BUT zero facilities — partner needs to seed.</t>
  </si>
  <si>
    <t xml:space="preserve">Fluorspar</t>
  </si>
  <si>
    <t xml:space="preserve">electrolyte</t>
  </si>
  <si>
    <t xml:space="preserve">Zero facilities.</t>
  </si>
  <si>
    <t xml:space="preserve">Sodium</t>
  </si>
  <si>
    <t xml:space="preserve">Na-ion narrative emerging.</t>
  </si>
  <si>
    <t xml:space="preserve">Zirconium</t>
  </si>
  <si>
    <t xml:space="preserve">Strong signals, mid facility coverage.</t>
  </si>
  <si>
    <t xml:space="preserve">Tantalum</t>
  </si>
  <si>
    <t xml:space="preserve">Germanium</t>
  </si>
  <si>
    <t xml:space="preserve">Titanium</t>
  </si>
  <si>
    <t xml:space="preserve">Boron</t>
  </si>
  <si>
    <t xml:space="preserve">Silver</t>
  </si>
  <si>
    <t xml:space="preserve">Vanadium</t>
  </si>
  <si>
    <t xml:space="preserve">Tin</t>
  </si>
  <si>
    <t xml:space="preserve">Gallium</t>
  </si>
  <si>
    <t xml:space="preserve">Antimony</t>
  </si>
  <si>
    <t xml:space="preserve">Rhenium</t>
  </si>
  <si>
    <t xml:space="preserve">Tellurium</t>
  </si>
  <si>
    <t xml:space="preserve">Selenium</t>
  </si>
  <si>
    <t xml:space="preserve">Platinum-Group Metals</t>
  </si>
  <si>
    <t xml:space="preserve">Bismuth</t>
  </si>
  <si>
    <t xml:space="preserve">Zinc</t>
  </si>
  <si>
    <t xml:space="preserve">Niobium</t>
  </si>
  <si>
    <t xml:space="preserve">Molybdenum</t>
  </si>
  <si>
    <t xml:space="preserve">Neodymium</t>
  </si>
  <si>
    <t xml:space="preserve">magnet</t>
  </si>
  <si>
    <t xml:space="preserve">REE breakout.</t>
  </si>
  <si>
    <t xml:space="preserve">Indium</t>
  </si>
  <si>
    <t xml:space="preserve">Terbium</t>
  </si>
  <si>
    <t xml:space="preserve">Praseodymium</t>
  </si>
  <si>
    <t xml:space="preserve">Dysprosium</t>
  </si>
  <si>
    <t xml:space="preserve">TOTALS</t>
  </si>
  <si>
    <t xml:space="preserve">Recommended launch (Tier 1)</t>
  </si>
  <si>
    <t xml:space="preserve">Tier 2 (secondary)</t>
  </si>
  <si>
    <t xml:space="preserve">Tier 3 (defer)</t>
  </si>
  <si>
    <t xml:space="preserve">Field</t>
  </si>
  <si>
    <t xml:space="preserve">Allowed values</t>
  </si>
  <si>
    <t xml:space="preserve">mine, refinery, smelter, concentrator, processing, recycling, cell_factory, pack_plant, r_and_d, hq, other</t>
  </si>
  <si>
    <t xml:space="preserve">What the site does. Mines vs refineries are scored differently.</t>
  </si>
  <si>
    <t xml:space="preserve">operating, planned, under_construction, mothballed, closed, care_maintenance</t>
  </si>
  <si>
    <t xml:space="preserve">mothballed/closed/care_maintenance flag capacity as 'at risk' in operational pillar.</t>
  </si>
  <si>
    <t xml:space="preserve">ore, concentrate, intermediate, refined, battery_grade, fabricated, scrap</t>
  </si>
  <si>
    <t xml:space="preserve">Determines which HS-stage node this facility's capacity contributes to.</t>
  </si>
  <si>
    <t xml:space="preserve">operator, jv_partner, lessee, minority_stake, other</t>
  </si>
  <si>
    <t xml:space="preserve">Operator vs JV vs minority. Affects how scores attribute risk.</t>
  </si>
  <si>
    <t xml:space="preserve">t/yr, kt/yr, mt/yr, lb/yr, GWh/yr, other</t>
  </si>
  <si>
    <t xml:space="preserve">t/yr is preferred. kt/yr accepted (multiplied by 1000 on load).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</si>
</sst>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color rgb="FF6B5500"/>
      <name val="Arial"/>
      <family val="0"/>
      <charset val="1"/>
    </font>
    <font>
      <i val="true"/>
      <sz val="9"/>
      <color rgb="FF2E598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A4262C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A4262C"/>
      <name val="Arial"/>
      <family val="0"/>
      <charset val="1"/>
    </font>
    <font>
      <b val="true"/>
      <sz val="11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2A4A"/>
        <bgColor rgb="FF333300"/>
      </patternFill>
    </fill>
    <fill>
      <patternFill patternType="solid">
        <fgColor rgb="FFF5F5F5"/>
        <bgColor rgb="FFF0F0F0"/>
      </patternFill>
    </fill>
    <fill>
      <patternFill patternType="solid">
        <fgColor rgb="FFFFF4D6"/>
        <bgColor rgb="FFF5F5F5"/>
      </patternFill>
    </fill>
    <fill>
      <patternFill patternType="solid">
        <fgColor rgb="FFE8F0FA"/>
        <bgColor rgb="FFF0F0F0"/>
      </patternFill>
    </fill>
    <fill>
      <patternFill patternType="solid">
        <fgColor rgb="FFDCEFD3"/>
        <bgColor rgb="FFE8F0FA"/>
      </patternFill>
    </fill>
    <fill>
      <patternFill patternType="solid">
        <fgColor rgb="FFFCE4E4"/>
        <bgColor rgb="FFF0F0F0"/>
      </patternFill>
    </fill>
    <fill>
      <patternFill patternType="solid">
        <fgColor rgb="FFF0F0F0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5500"/>
      <rgbColor rgb="FF800080"/>
      <rgbColor rgb="FF008080"/>
      <rgbColor rgb="FFCCCCCC"/>
      <rgbColor rgb="FF808080"/>
      <rgbColor rgb="FF9999FF"/>
      <rgbColor rgb="FF993366"/>
      <rgbColor rgb="FFFFF4D6"/>
      <rgbColor rgb="FFE8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CEFD3"/>
      <rgbColor rgb="FFF5F5F5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A4262C"/>
      <rgbColor rgb="FF993366"/>
      <rgbColor rgb="FF2E5984"/>
      <rgbColor rgb="FF2E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9" min="8" style="0" width="9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8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8" min="18" style="0" width="13"/>
    <col collapsed="false" customWidth="true" hidden="false" outlineLevel="0" max="20" min="19" style="0" width="4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60" hidden="false" customHeight="tru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</row>
    <row r="3" customFormat="false" ht="30" hidden="false" customHeight="true" outlineLevel="0" collapsed="false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n">
        <v>-33.18</v>
      </c>
      <c r="I3" s="3" t="n">
        <v>115.71</v>
      </c>
      <c r="J3" s="3" t="s">
        <v>47</v>
      </c>
      <c r="K3" s="3" t="s">
        <v>48</v>
      </c>
      <c r="L3" s="3" t="n">
        <v>50000</v>
      </c>
      <c r="M3" s="3" t="s">
        <v>49</v>
      </c>
      <c r="N3" s="3" t="s">
        <v>50</v>
      </c>
      <c r="O3" s="3" t="s">
        <v>51</v>
      </c>
      <c r="P3" s="3" t="s">
        <v>52</v>
      </c>
      <c r="Q3" s="3" t="s">
        <v>53</v>
      </c>
      <c r="R3" s="3" t="n">
        <v>0.6</v>
      </c>
      <c r="S3" s="3" t="s">
        <v>54</v>
      </c>
      <c r="T3" s="3" t="s">
        <v>55</v>
      </c>
    </row>
    <row r="4" customFormat="false" ht="30" hidden="false" customHeight="true" outlineLevel="0" collapsed="false">
      <c r="A4" s="3" t="s">
        <v>56</v>
      </c>
      <c r="B4" s="3" t="s">
        <v>44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n">
        <v>-33.18</v>
      </c>
      <c r="I4" s="3" t="n">
        <v>115.71</v>
      </c>
      <c r="J4" s="3" t="s">
        <v>47</v>
      </c>
      <c r="K4" s="3" t="s">
        <v>48</v>
      </c>
      <c r="L4" s="3" t="n">
        <v>50000</v>
      </c>
      <c r="M4" s="3" t="s">
        <v>49</v>
      </c>
      <c r="N4" s="3" t="s">
        <v>50</v>
      </c>
      <c r="O4" s="3" t="s">
        <v>51</v>
      </c>
      <c r="P4" s="3" t="s">
        <v>52</v>
      </c>
      <c r="Q4" s="3" t="s">
        <v>53</v>
      </c>
      <c r="R4" s="3" t="n">
        <v>0.4</v>
      </c>
      <c r="S4" s="3" t="s">
        <v>57</v>
      </c>
      <c r="T4" s="3" t="s">
        <v>58</v>
      </c>
    </row>
    <row r="5" customFormat="false" ht="39.75" hidden="false" customHeight="true" outlineLevel="0" collapsed="false">
      <c r="A5" s="4" t="s">
        <v>59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</sheetData>
  <mergeCells count="1">
    <mergeCell ref="A5:T5"/>
  </mergeCells>
  <dataValidations count="6">
    <dataValidation allowBlank="true" error="Value not in allowed list" errorStyle="stop" errorTitle="Invalid value" operator="between" prompt="Pick from drop-down" promptTitle="Allowed values" showDropDown="false" showErrorMessage="false" showInputMessage="false" sqref="D6:D200" type="list">
      <formula1>"mine,refinery,smelter,concentrator,processing,recycling,cell_factory,pack_plant,r_and_d,hq,other"</formula1>
      <formula2>0</formula2>
    </dataValidation>
    <dataValidation allowBlank="true" error="Value not in allowed list" errorStyle="stop" errorTitle="Invalid value" operator="between" prompt="Pick from drop-down" promptTitle="Allowed values" showDropDown="false" showErrorMessage="false" showInputMessage="false" sqref="J6:J200" type="list">
      <formula1>"operating,planned,under_construction,mothballed,closed,care_maintenance"</formula1>
      <formula2>0</formula2>
    </dataValidation>
    <dataValidation allowBlank="true" error="Value not in allowed list" errorStyle="stop" errorTitle="Invalid value" operator="between" prompt="Pick from drop-down" promptTitle="Allowed values" showDropDown="false" showErrorMessage="false" showInputMessage="false" sqref="O6:O200" type="list">
      <formula1>"ore,concentrate,intermediate,refined,battery_grade,fabricated,scrap"</formula1>
      <formula2>0</formula2>
    </dataValidation>
    <dataValidation allowBlank="true" error="Value not in allowed list" errorStyle="stop" errorTitle="Invalid value" operator="between" prompt="Pick from drop-down" promptTitle="Allowed values" showDropDown="false" showErrorMessage="false" showInputMessage="false" sqref="Q6:Q200" type="list">
      <formula1>"operator,jv_partner,lessee,minority_stake,other"</formula1>
      <formula2>0</formula2>
    </dataValidation>
    <dataValidation allowBlank="true" error="Value not in allowed list" errorStyle="stop" errorTitle="Invalid value" operator="between" prompt="Pick from drop-down" promptTitle="Allowed values" showDropDown="false" showErrorMessage="false" showInputMessage="false" sqref="M6:M200" type="list">
      <formula1>"t/yr,kt/yr,mt/yr,lb/yr,GWh/yr,other"</formula1>
      <formula2>0</formula2>
    </dataValidation>
    <dataValidation allowBlank="true" error="Value not in allowed list" errorStyle="stop" errorTitle="Invalid value" operator="between" prompt="Pick from drop-down" promptTitle="Allowed values" showDropDown="false" showErrorMessage="false" showInputMessage="false" sqref="N6:N2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60"/>
  </cols>
  <sheetData>
    <row r="1" customFormat="false" ht="31.5" hidden="false" customHeight="true" outlineLevel="0" collapsed="false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</row>
    <row r="2" customFormat="false" ht="15" hidden="false" customHeight="false" outlineLevel="0" collapsed="false">
      <c r="A2" s="5" t="s">
        <v>48</v>
      </c>
      <c r="B2" s="5" t="s">
        <v>73</v>
      </c>
      <c r="C2" s="6" t="n">
        <v>1</v>
      </c>
      <c r="D2" s="6" t="n">
        <v>9</v>
      </c>
      <c r="E2" s="6" t="n">
        <v>9</v>
      </c>
      <c r="F2" s="6" t="n">
        <v>2</v>
      </c>
      <c r="G2" s="6" t="n">
        <v>458</v>
      </c>
      <c r="H2" s="6" t="n">
        <v>26</v>
      </c>
      <c r="I2" s="5" t="s">
        <v>74</v>
      </c>
      <c r="J2" s="5" t="s">
        <v>74</v>
      </c>
      <c r="K2" s="7" t="n">
        <v>1</v>
      </c>
      <c r="L2" s="5"/>
      <c r="M2" s="5" t="s">
        <v>75</v>
      </c>
    </row>
    <row r="3" customFormat="false" ht="15" hidden="false" customHeight="false" outlineLevel="0" collapsed="false">
      <c r="A3" s="5" t="s">
        <v>76</v>
      </c>
      <c r="B3" s="5" t="s">
        <v>73</v>
      </c>
      <c r="C3" s="6" t="n">
        <v>1</v>
      </c>
      <c r="D3" s="6" t="n">
        <v>24</v>
      </c>
      <c r="E3" s="6" t="n">
        <v>12</v>
      </c>
      <c r="F3" s="6" t="n">
        <v>4</v>
      </c>
      <c r="G3" s="6" t="n">
        <v>451</v>
      </c>
      <c r="H3" s="6" t="n">
        <v>74</v>
      </c>
      <c r="I3" s="5" t="s">
        <v>74</v>
      </c>
      <c r="J3" s="5" t="s">
        <v>74</v>
      </c>
      <c r="K3" s="7" t="n">
        <v>1</v>
      </c>
      <c r="L3" s="5"/>
      <c r="M3" s="5" t="s">
        <v>77</v>
      </c>
    </row>
    <row r="4" customFormat="false" ht="15" hidden="false" customHeight="false" outlineLevel="0" collapsed="false">
      <c r="A4" s="5" t="s">
        <v>78</v>
      </c>
      <c r="B4" s="5" t="s">
        <v>73</v>
      </c>
      <c r="C4" s="6" t="n">
        <v>1</v>
      </c>
      <c r="D4" s="6" t="n">
        <v>16</v>
      </c>
      <c r="E4" s="6" t="n">
        <v>9</v>
      </c>
      <c r="F4" s="6" t="n">
        <v>7</v>
      </c>
      <c r="G4" s="6" t="n">
        <v>409</v>
      </c>
      <c r="H4" s="6" t="n">
        <v>135</v>
      </c>
      <c r="I4" s="5" t="s">
        <v>74</v>
      </c>
      <c r="J4" s="5" t="s">
        <v>74</v>
      </c>
      <c r="K4" s="7" t="n">
        <v>1</v>
      </c>
      <c r="L4" s="5"/>
      <c r="M4" s="5" t="s">
        <v>79</v>
      </c>
    </row>
    <row r="5" customFormat="false" ht="15" hidden="false" customHeight="false" outlineLevel="0" collapsed="false">
      <c r="A5" s="5" t="s">
        <v>80</v>
      </c>
      <c r="B5" s="5" t="s">
        <v>81</v>
      </c>
      <c r="C5" s="6" t="n">
        <v>1</v>
      </c>
      <c r="D5" s="6" t="n">
        <v>13</v>
      </c>
      <c r="E5" s="6" t="n">
        <v>12</v>
      </c>
      <c r="F5" s="6" t="n">
        <v>3</v>
      </c>
      <c r="G5" s="6" t="n">
        <v>381</v>
      </c>
      <c r="H5" s="6" t="n">
        <v>66</v>
      </c>
      <c r="I5" s="5" t="s">
        <v>74</v>
      </c>
      <c r="J5" s="5" t="s">
        <v>74</v>
      </c>
      <c r="K5" s="7" t="n">
        <v>1</v>
      </c>
      <c r="L5" s="5"/>
      <c r="M5" s="5" t="s">
        <v>79</v>
      </c>
    </row>
    <row r="6" customFormat="false" ht="15" hidden="false" customHeight="false" outlineLevel="0" collapsed="false">
      <c r="A6" s="5" t="s">
        <v>82</v>
      </c>
      <c r="B6" s="5" t="s">
        <v>83</v>
      </c>
      <c r="C6" s="6" t="n">
        <v>1</v>
      </c>
      <c r="D6" s="6" t="n">
        <v>15</v>
      </c>
      <c r="E6" s="6" t="n">
        <v>14</v>
      </c>
      <c r="F6" s="6" t="n">
        <v>36</v>
      </c>
      <c r="G6" s="6" t="n">
        <v>370</v>
      </c>
      <c r="H6" s="8" t="n">
        <v>0</v>
      </c>
      <c r="I6" s="5" t="s">
        <v>74</v>
      </c>
      <c r="J6" s="5" t="s">
        <v>84</v>
      </c>
      <c r="K6" s="9" t="n">
        <v>3</v>
      </c>
      <c r="L6" s="5"/>
      <c r="M6" s="5" t="s">
        <v>85</v>
      </c>
    </row>
    <row r="7" customFormat="false" ht="15" hidden="false" customHeight="false" outlineLevel="0" collapsed="false">
      <c r="A7" s="5" t="s">
        <v>86</v>
      </c>
      <c r="B7" s="5" t="s">
        <v>81</v>
      </c>
      <c r="C7" s="6" t="n">
        <v>1</v>
      </c>
      <c r="D7" s="6" t="n">
        <v>11</v>
      </c>
      <c r="E7" s="6" t="n">
        <v>10</v>
      </c>
      <c r="F7" s="6" t="n">
        <v>4</v>
      </c>
      <c r="G7" s="6" t="n">
        <v>356</v>
      </c>
      <c r="H7" s="6" t="n">
        <v>336</v>
      </c>
      <c r="I7" s="5" t="s">
        <v>74</v>
      </c>
      <c r="J7" s="5" t="s">
        <v>74</v>
      </c>
      <c r="K7" s="10" t="n">
        <v>2</v>
      </c>
      <c r="L7" s="5"/>
      <c r="M7" s="5" t="s">
        <v>87</v>
      </c>
    </row>
    <row r="8" customFormat="false" ht="15" hidden="false" customHeight="false" outlineLevel="0" collapsed="false">
      <c r="A8" s="5" t="s">
        <v>88</v>
      </c>
      <c r="B8" s="5" t="s">
        <v>89</v>
      </c>
      <c r="C8" s="6" t="n">
        <v>1</v>
      </c>
      <c r="D8" s="6" t="n">
        <v>19</v>
      </c>
      <c r="E8" s="6" t="n">
        <v>6</v>
      </c>
      <c r="F8" s="6" t="n">
        <v>15</v>
      </c>
      <c r="G8" s="6" t="n">
        <v>355</v>
      </c>
      <c r="H8" s="6" t="n">
        <v>138</v>
      </c>
      <c r="I8" s="5" t="s">
        <v>74</v>
      </c>
      <c r="J8" s="5" t="s">
        <v>74</v>
      </c>
      <c r="K8" s="10" t="n">
        <v>2</v>
      </c>
      <c r="L8" s="5"/>
      <c r="M8" s="5" t="s">
        <v>90</v>
      </c>
    </row>
    <row r="9" customFormat="false" ht="15" hidden="false" customHeight="false" outlineLevel="0" collapsed="false">
      <c r="A9" s="5" t="s">
        <v>91</v>
      </c>
      <c r="B9" s="5" t="s">
        <v>73</v>
      </c>
      <c r="C9" s="6" t="n">
        <v>1</v>
      </c>
      <c r="D9" s="6" t="n">
        <v>20</v>
      </c>
      <c r="E9" s="6" t="n">
        <v>7</v>
      </c>
      <c r="F9" s="6" t="n">
        <v>14</v>
      </c>
      <c r="G9" s="6" t="n">
        <v>351</v>
      </c>
      <c r="H9" s="6" t="n">
        <v>400</v>
      </c>
      <c r="I9" s="5" t="s">
        <v>74</v>
      </c>
      <c r="J9" s="5" t="s">
        <v>74</v>
      </c>
      <c r="K9" s="7" t="n">
        <v>1</v>
      </c>
      <c r="L9" s="5"/>
      <c r="M9" s="5" t="s">
        <v>92</v>
      </c>
    </row>
    <row r="10" customFormat="false" ht="15" hidden="false" customHeight="false" outlineLevel="0" collapsed="false">
      <c r="A10" s="5" t="s">
        <v>93</v>
      </c>
      <c r="B10" s="5" t="s">
        <v>89</v>
      </c>
      <c r="C10" s="6" t="n">
        <v>1</v>
      </c>
      <c r="D10" s="6" t="n">
        <v>14</v>
      </c>
      <c r="E10" s="6" t="n">
        <v>12</v>
      </c>
      <c r="F10" s="6" t="n">
        <v>31</v>
      </c>
      <c r="G10" s="6" t="n">
        <v>343</v>
      </c>
      <c r="H10" s="6" t="n">
        <v>239</v>
      </c>
      <c r="I10" s="5" t="s">
        <v>74</v>
      </c>
      <c r="J10" s="5" t="s">
        <v>74</v>
      </c>
      <c r="K10" s="7" t="n">
        <v>1</v>
      </c>
      <c r="L10" s="5"/>
      <c r="M10" s="5" t="s">
        <v>94</v>
      </c>
    </row>
    <row r="11" customFormat="false" ht="15" hidden="false" customHeight="false" outlineLevel="0" collapsed="false">
      <c r="A11" s="5" t="s">
        <v>95</v>
      </c>
      <c r="B11" s="5" t="s">
        <v>81</v>
      </c>
      <c r="C11" s="6" t="n">
        <v>1</v>
      </c>
      <c r="D11" s="6" t="n">
        <v>24</v>
      </c>
      <c r="E11" s="6" t="n">
        <v>7</v>
      </c>
      <c r="F11" s="6" t="n">
        <v>23</v>
      </c>
      <c r="G11" s="6" t="n">
        <v>311</v>
      </c>
      <c r="H11" s="6" t="n">
        <v>348</v>
      </c>
      <c r="I11" s="5" t="s">
        <v>74</v>
      </c>
      <c r="J11" s="5" t="s">
        <v>74</v>
      </c>
      <c r="K11" s="10" t="n">
        <v>2</v>
      </c>
      <c r="L11" s="5"/>
      <c r="M11" s="5" t="s">
        <v>96</v>
      </c>
    </row>
    <row r="12" customFormat="false" ht="15" hidden="false" customHeight="false" outlineLevel="0" collapsed="false">
      <c r="A12" s="5" t="s">
        <v>97</v>
      </c>
      <c r="B12" s="5" t="s">
        <v>98</v>
      </c>
      <c r="C12" s="6" t="n">
        <v>1</v>
      </c>
      <c r="D12" s="6" t="n">
        <v>17</v>
      </c>
      <c r="E12" s="6" t="n">
        <v>17</v>
      </c>
      <c r="F12" s="6" t="n">
        <v>43</v>
      </c>
      <c r="G12" s="6" t="n">
        <v>270</v>
      </c>
      <c r="H12" s="6" t="n">
        <v>1016</v>
      </c>
      <c r="I12" s="5" t="s">
        <v>74</v>
      </c>
      <c r="J12" s="5" t="s">
        <v>74</v>
      </c>
      <c r="K12" s="7" t="n">
        <v>1</v>
      </c>
      <c r="L12" s="5"/>
      <c r="M12" s="5" t="s">
        <v>99</v>
      </c>
    </row>
    <row r="13" customFormat="false" ht="15" hidden="false" customHeight="false" outlineLevel="0" collapsed="false">
      <c r="A13" s="5" t="s">
        <v>100</v>
      </c>
      <c r="B13" s="5" t="s">
        <v>83</v>
      </c>
      <c r="C13" s="6" t="n">
        <v>1</v>
      </c>
      <c r="D13" s="6" t="n">
        <v>6</v>
      </c>
      <c r="E13" s="6" t="n">
        <v>17</v>
      </c>
      <c r="F13" s="6" t="n">
        <v>4</v>
      </c>
      <c r="G13" s="6" t="n">
        <v>212</v>
      </c>
      <c r="H13" s="6" t="n">
        <v>106</v>
      </c>
      <c r="I13" s="5" t="s">
        <v>74</v>
      </c>
      <c r="J13" s="5" t="s">
        <v>74</v>
      </c>
      <c r="K13" s="7" t="n">
        <v>1</v>
      </c>
      <c r="L13" s="5"/>
      <c r="M13" s="5" t="s">
        <v>101</v>
      </c>
    </row>
    <row r="14" customFormat="false" ht="15" hidden="false" customHeight="false" outlineLevel="0" collapsed="false">
      <c r="A14" s="5" t="s">
        <v>102</v>
      </c>
      <c r="B14" s="5" t="s">
        <v>73</v>
      </c>
      <c r="C14" s="6" t="n">
        <v>1</v>
      </c>
      <c r="D14" s="6" t="n">
        <v>11</v>
      </c>
      <c r="E14" s="6" t="n">
        <v>17</v>
      </c>
      <c r="F14" s="6" t="n">
        <v>4</v>
      </c>
      <c r="G14" s="6" t="n">
        <v>200</v>
      </c>
      <c r="H14" s="6" t="n">
        <v>756</v>
      </c>
      <c r="I14" s="5" t="s">
        <v>84</v>
      </c>
      <c r="J14" s="5" t="s">
        <v>84</v>
      </c>
      <c r="K14" s="10" t="n">
        <v>2</v>
      </c>
      <c r="L14" s="5"/>
      <c r="M14" s="5" t="s">
        <v>103</v>
      </c>
    </row>
    <row r="15" customFormat="false" ht="15" hidden="false" customHeight="false" outlineLevel="0" collapsed="false">
      <c r="A15" s="5" t="s">
        <v>104</v>
      </c>
      <c r="B15" s="5" t="s">
        <v>73</v>
      </c>
      <c r="C15" s="6" t="n">
        <v>1</v>
      </c>
      <c r="D15" s="6" t="n">
        <v>7</v>
      </c>
      <c r="E15" s="6" t="n">
        <v>21</v>
      </c>
      <c r="F15" s="6" t="n">
        <v>1</v>
      </c>
      <c r="G15" s="6" t="n">
        <v>187</v>
      </c>
      <c r="H15" s="8" t="n">
        <v>0</v>
      </c>
      <c r="I15" s="5" t="s">
        <v>84</v>
      </c>
      <c r="J15" s="5" t="s">
        <v>84</v>
      </c>
      <c r="K15" s="7" t="n">
        <v>1</v>
      </c>
      <c r="L15" s="5"/>
      <c r="M15" s="5" t="s">
        <v>105</v>
      </c>
    </row>
    <row r="16" customFormat="false" ht="15" hidden="false" customHeight="false" outlineLevel="0" collapsed="false">
      <c r="A16" s="5" t="s">
        <v>106</v>
      </c>
      <c r="B16" s="5" t="s">
        <v>107</v>
      </c>
      <c r="C16" s="6" t="n">
        <v>1</v>
      </c>
      <c r="D16" s="6" t="n">
        <v>16</v>
      </c>
      <c r="E16" s="6" t="n">
        <v>12</v>
      </c>
      <c r="F16" s="6" t="n">
        <v>4</v>
      </c>
      <c r="G16" s="6" t="n">
        <v>325</v>
      </c>
      <c r="H16" s="6" t="n">
        <v>0</v>
      </c>
      <c r="I16" s="5" t="s">
        <v>84</v>
      </c>
      <c r="J16" s="5" t="s">
        <v>74</v>
      </c>
      <c r="K16" s="9" t="n">
        <v>3</v>
      </c>
      <c r="L16" s="5"/>
      <c r="M16" s="5" t="s">
        <v>108</v>
      </c>
    </row>
    <row r="17" customFormat="false" ht="15" hidden="false" customHeight="false" outlineLevel="0" collapsed="false">
      <c r="A17" s="5" t="s">
        <v>109</v>
      </c>
      <c r="B17" s="5" t="s">
        <v>73</v>
      </c>
      <c r="C17" s="6" t="n">
        <v>1</v>
      </c>
      <c r="D17" s="6" t="n">
        <v>9</v>
      </c>
      <c r="E17" s="6" t="n">
        <v>4</v>
      </c>
      <c r="F17" s="6" t="n">
        <v>3</v>
      </c>
      <c r="G17" s="6" t="n">
        <v>321</v>
      </c>
      <c r="H17" s="6" t="n">
        <v>0</v>
      </c>
      <c r="I17" s="5" t="s">
        <v>84</v>
      </c>
      <c r="J17" s="5" t="s">
        <v>84</v>
      </c>
      <c r="K17" s="9" t="n">
        <v>3</v>
      </c>
      <c r="L17" s="5"/>
      <c r="M17" s="5" t="s">
        <v>110</v>
      </c>
    </row>
    <row r="18" customFormat="false" ht="15" hidden="false" customHeight="false" outlineLevel="0" collapsed="false">
      <c r="A18" s="5" t="s">
        <v>111</v>
      </c>
      <c r="B18" s="5" t="s">
        <v>81</v>
      </c>
      <c r="C18" s="6" t="n">
        <v>1</v>
      </c>
      <c r="D18" s="6" t="n">
        <v>27</v>
      </c>
      <c r="E18" s="6" t="n">
        <v>9</v>
      </c>
      <c r="F18" s="6" t="n">
        <v>19</v>
      </c>
      <c r="G18" s="6" t="n">
        <v>326</v>
      </c>
      <c r="H18" s="6" t="n">
        <v>39</v>
      </c>
      <c r="I18" s="5" t="s">
        <v>74</v>
      </c>
      <c r="J18" s="5" t="s">
        <v>74</v>
      </c>
      <c r="K18" s="9" t="n">
        <v>3</v>
      </c>
      <c r="L18" s="5"/>
      <c r="M18" s="5" t="s">
        <v>112</v>
      </c>
    </row>
    <row r="19" customFormat="false" ht="15" hidden="false" customHeight="false" outlineLevel="0" collapsed="false">
      <c r="A19" s="5" t="s">
        <v>113</v>
      </c>
      <c r="B19" s="5" t="s">
        <v>81</v>
      </c>
      <c r="C19" s="6" t="n">
        <v>1</v>
      </c>
      <c r="D19" s="6" t="n">
        <v>20</v>
      </c>
      <c r="E19" s="6" t="n">
        <v>9</v>
      </c>
      <c r="F19" s="6" t="n">
        <v>16</v>
      </c>
      <c r="G19" s="6" t="n">
        <v>297</v>
      </c>
      <c r="H19" s="6" t="n">
        <v>15</v>
      </c>
      <c r="I19" s="5" t="s">
        <v>74</v>
      </c>
      <c r="J19" s="5" t="s">
        <v>74</v>
      </c>
      <c r="K19" s="9" t="n">
        <v>3</v>
      </c>
      <c r="L19" s="5"/>
      <c r="M19" s="5"/>
    </row>
    <row r="20" customFormat="false" ht="15" hidden="false" customHeight="false" outlineLevel="0" collapsed="false">
      <c r="A20" s="5" t="s">
        <v>114</v>
      </c>
      <c r="B20" s="5" t="s">
        <v>81</v>
      </c>
      <c r="C20" s="6" t="n">
        <v>1</v>
      </c>
      <c r="D20" s="6" t="n">
        <v>11</v>
      </c>
      <c r="E20" s="6" t="n">
        <v>0</v>
      </c>
      <c r="F20" s="6" t="n">
        <v>7</v>
      </c>
      <c r="G20" s="6" t="n">
        <v>291</v>
      </c>
      <c r="H20" s="6" t="n">
        <v>1</v>
      </c>
      <c r="I20" s="5" t="s">
        <v>74</v>
      </c>
      <c r="J20" s="5" t="s">
        <v>74</v>
      </c>
      <c r="K20" s="9" t="n">
        <v>3</v>
      </c>
      <c r="L20" s="5"/>
      <c r="M20" s="5"/>
    </row>
    <row r="21" customFormat="false" ht="15" hidden="false" customHeight="false" outlineLevel="0" collapsed="false">
      <c r="A21" s="5" t="s">
        <v>115</v>
      </c>
      <c r="B21" s="5" t="s">
        <v>83</v>
      </c>
      <c r="C21" s="6" t="n">
        <v>1</v>
      </c>
      <c r="D21" s="6" t="n">
        <v>21</v>
      </c>
      <c r="E21" s="6" t="n">
        <v>6</v>
      </c>
      <c r="F21" s="6" t="n">
        <v>7</v>
      </c>
      <c r="G21" s="6" t="n">
        <v>282</v>
      </c>
      <c r="H21" s="6" t="n">
        <v>57</v>
      </c>
      <c r="I21" s="5" t="s">
        <v>74</v>
      </c>
      <c r="J21" s="5" t="s">
        <v>74</v>
      </c>
      <c r="K21" s="9" t="n">
        <v>3</v>
      </c>
      <c r="L21" s="5"/>
      <c r="M21" s="5"/>
    </row>
    <row r="22" customFormat="false" ht="15" hidden="false" customHeight="false" outlineLevel="0" collapsed="false">
      <c r="A22" s="5" t="s">
        <v>116</v>
      </c>
      <c r="B22" s="5" t="s">
        <v>107</v>
      </c>
      <c r="C22" s="6" t="n">
        <v>1</v>
      </c>
      <c r="D22" s="6" t="n">
        <v>13</v>
      </c>
      <c r="E22" s="6" t="n">
        <v>8</v>
      </c>
      <c r="F22" s="6" t="n">
        <v>2</v>
      </c>
      <c r="G22" s="6" t="n">
        <v>268</v>
      </c>
      <c r="H22" s="6" t="n">
        <v>0</v>
      </c>
      <c r="I22" s="5" t="s">
        <v>84</v>
      </c>
      <c r="J22" s="5" t="s">
        <v>74</v>
      </c>
      <c r="K22" s="9" t="n">
        <v>3</v>
      </c>
      <c r="L22" s="5"/>
      <c r="M22" s="5" t="s">
        <v>108</v>
      </c>
    </row>
    <row r="23" customFormat="false" ht="15" hidden="false" customHeight="false" outlineLevel="0" collapsed="false">
      <c r="A23" s="5" t="s">
        <v>117</v>
      </c>
      <c r="B23" s="5" t="s">
        <v>81</v>
      </c>
      <c r="C23" s="6" t="n">
        <v>1</v>
      </c>
      <c r="D23" s="6" t="n">
        <v>7</v>
      </c>
      <c r="E23" s="6" t="n">
        <v>14</v>
      </c>
      <c r="F23" s="6" t="n">
        <v>4</v>
      </c>
      <c r="G23" s="6" t="n">
        <v>268</v>
      </c>
      <c r="H23" s="6" t="n">
        <v>837</v>
      </c>
      <c r="I23" s="5" t="s">
        <v>84</v>
      </c>
      <c r="J23" s="5" t="s">
        <v>84</v>
      </c>
      <c r="K23" s="9" t="n">
        <v>3</v>
      </c>
      <c r="L23" s="5"/>
      <c r="M23" s="5"/>
    </row>
    <row r="24" customFormat="false" ht="15" hidden="false" customHeight="false" outlineLevel="0" collapsed="false">
      <c r="A24" s="5" t="s">
        <v>118</v>
      </c>
      <c r="B24" s="5" t="s">
        <v>81</v>
      </c>
      <c r="C24" s="6" t="n">
        <v>1</v>
      </c>
      <c r="D24" s="6" t="n">
        <v>19</v>
      </c>
      <c r="E24" s="6" t="n">
        <v>4</v>
      </c>
      <c r="F24" s="6" t="n">
        <v>10</v>
      </c>
      <c r="G24" s="6" t="n">
        <v>266</v>
      </c>
      <c r="H24" s="6" t="n">
        <v>103</v>
      </c>
      <c r="I24" s="5" t="s">
        <v>74</v>
      </c>
      <c r="J24" s="5" t="s">
        <v>74</v>
      </c>
      <c r="K24" s="9" t="n">
        <v>3</v>
      </c>
      <c r="L24" s="5"/>
      <c r="M24" s="5"/>
    </row>
    <row r="25" customFormat="false" ht="15" hidden="false" customHeight="false" outlineLevel="0" collapsed="false">
      <c r="A25" s="5" t="s">
        <v>119</v>
      </c>
      <c r="B25" s="5" t="s">
        <v>81</v>
      </c>
      <c r="C25" s="6" t="n">
        <v>1</v>
      </c>
      <c r="D25" s="6" t="n">
        <v>10</v>
      </c>
      <c r="E25" s="6" t="n">
        <v>13</v>
      </c>
      <c r="F25" s="6" t="n">
        <v>6</v>
      </c>
      <c r="G25" s="6" t="n">
        <v>259</v>
      </c>
      <c r="H25" s="6" t="n">
        <v>320</v>
      </c>
      <c r="I25" s="5" t="s">
        <v>74</v>
      </c>
      <c r="J25" s="5" t="s">
        <v>74</v>
      </c>
      <c r="K25" s="9" t="n">
        <v>3</v>
      </c>
      <c r="L25" s="5"/>
      <c r="M25" s="5"/>
    </row>
    <row r="26" customFormat="false" ht="15" hidden="false" customHeight="false" outlineLevel="0" collapsed="false">
      <c r="A26" s="5" t="s">
        <v>120</v>
      </c>
      <c r="B26" s="5" t="s">
        <v>81</v>
      </c>
      <c r="C26" s="6" t="n">
        <v>1</v>
      </c>
      <c r="D26" s="6" t="n">
        <v>4</v>
      </c>
      <c r="E26" s="6" t="n">
        <v>3</v>
      </c>
      <c r="F26" s="6" t="n">
        <v>4</v>
      </c>
      <c r="G26" s="6" t="n">
        <v>255</v>
      </c>
      <c r="H26" s="6" t="n">
        <v>3</v>
      </c>
      <c r="I26" s="5" t="s">
        <v>74</v>
      </c>
      <c r="J26" s="5" t="s">
        <v>74</v>
      </c>
      <c r="K26" s="9" t="n">
        <v>3</v>
      </c>
      <c r="L26" s="5"/>
      <c r="M26" s="5"/>
    </row>
    <row r="27" customFormat="false" ht="15" hidden="false" customHeight="false" outlineLevel="0" collapsed="false">
      <c r="A27" s="5" t="s">
        <v>121</v>
      </c>
      <c r="B27" s="5" t="s">
        <v>81</v>
      </c>
      <c r="C27" s="6" t="n">
        <v>1</v>
      </c>
      <c r="D27" s="6" t="n">
        <v>12</v>
      </c>
      <c r="E27" s="6" t="n">
        <v>14</v>
      </c>
      <c r="F27" s="6" t="n">
        <v>11</v>
      </c>
      <c r="G27" s="6" t="n">
        <v>240</v>
      </c>
      <c r="H27" s="6" t="n">
        <v>140</v>
      </c>
      <c r="I27" s="5" t="s">
        <v>74</v>
      </c>
      <c r="J27" s="5" t="s">
        <v>74</v>
      </c>
      <c r="K27" s="9" t="n">
        <v>3</v>
      </c>
      <c r="L27" s="5"/>
      <c r="M27" s="5"/>
    </row>
    <row r="28" customFormat="false" ht="15" hidden="false" customHeight="false" outlineLevel="0" collapsed="false">
      <c r="A28" s="5" t="s">
        <v>122</v>
      </c>
      <c r="B28" s="5" t="s">
        <v>81</v>
      </c>
      <c r="C28" s="6" t="n">
        <v>1</v>
      </c>
      <c r="D28" s="6" t="n">
        <v>9</v>
      </c>
      <c r="E28" s="6" t="n">
        <v>8</v>
      </c>
      <c r="F28" s="6" t="n">
        <v>12</v>
      </c>
      <c r="G28" s="6" t="n">
        <v>210</v>
      </c>
      <c r="H28" s="6" t="n">
        <v>2</v>
      </c>
      <c r="I28" s="5" t="s">
        <v>74</v>
      </c>
      <c r="J28" s="5" t="s">
        <v>84</v>
      </c>
      <c r="K28" s="9" t="n">
        <v>3</v>
      </c>
      <c r="L28" s="5"/>
      <c r="M28" s="5"/>
    </row>
    <row r="29" customFormat="false" ht="15" hidden="false" customHeight="false" outlineLevel="0" collapsed="false">
      <c r="A29" s="5" t="s">
        <v>123</v>
      </c>
      <c r="B29" s="5" t="s">
        <v>81</v>
      </c>
      <c r="C29" s="6" t="n">
        <v>1</v>
      </c>
      <c r="D29" s="6" t="n">
        <v>3</v>
      </c>
      <c r="E29" s="6" t="n">
        <v>8</v>
      </c>
      <c r="F29" s="6" t="n">
        <v>4</v>
      </c>
      <c r="G29" s="6" t="n">
        <v>208</v>
      </c>
      <c r="H29" s="6" t="n">
        <v>5</v>
      </c>
      <c r="I29" s="5" t="s">
        <v>84</v>
      </c>
      <c r="J29" s="5" t="s">
        <v>84</v>
      </c>
      <c r="K29" s="9" t="n">
        <v>3</v>
      </c>
      <c r="L29" s="5"/>
      <c r="M29" s="5"/>
    </row>
    <row r="30" customFormat="false" ht="15" hidden="false" customHeight="false" outlineLevel="0" collapsed="false">
      <c r="A30" s="5" t="s">
        <v>124</v>
      </c>
      <c r="B30" s="5" t="s">
        <v>81</v>
      </c>
      <c r="C30" s="6" t="n">
        <v>1</v>
      </c>
      <c r="D30" s="6" t="n">
        <v>5</v>
      </c>
      <c r="E30" s="6" t="n">
        <v>15</v>
      </c>
      <c r="F30" s="6" t="n">
        <v>7</v>
      </c>
      <c r="G30" s="6" t="n">
        <v>205</v>
      </c>
      <c r="H30" s="6" t="n">
        <v>6</v>
      </c>
      <c r="I30" s="5" t="s">
        <v>84</v>
      </c>
      <c r="J30" s="5" t="s">
        <v>84</v>
      </c>
      <c r="K30" s="9" t="n">
        <v>3</v>
      </c>
      <c r="L30" s="5"/>
      <c r="M30" s="5"/>
    </row>
    <row r="31" customFormat="false" ht="15" hidden="false" customHeight="false" outlineLevel="0" collapsed="false">
      <c r="A31" s="5" t="s">
        <v>125</v>
      </c>
      <c r="B31" s="5" t="s">
        <v>81</v>
      </c>
      <c r="C31" s="6" t="n">
        <v>1</v>
      </c>
      <c r="D31" s="6" t="n">
        <v>2</v>
      </c>
      <c r="E31" s="6" t="n">
        <v>5</v>
      </c>
      <c r="F31" s="6" t="n">
        <v>5</v>
      </c>
      <c r="G31" s="6" t="n">
        <v>197</v>
      </c>
      <c r="H31" s="6" t="n">
        <v>157</v>
      </c>
      <c r="I31" s="5" t="s">
        <v>74</v>
      </c>
      <c r="J31" s="5" t="s">
        <v>74</v>
      </c>
      <c r="K31" s="9" t="n">
        <v>3</v>
      </c>
      <c r="L31" s="5"/>
      <c r="M31" s="5"/>
    </row>
    <row r="32" customFormat="false" ht="15" hidden="false" customHeight="false" outlineLevel="0" collapsed="false">
      <c r="A32" s="5" t="s">
        <v>126</v>
      </c>
      <c r="B32" s="5" t="s">
        <v>81</v>
      </c>
      <c r="C32" s="6" t="n">
        <v>1</v>
      </c>
      <c r="D32" s="6" t="n">
        <v>5</v>
      </c>
      <c r="E32" s="6" t="n">
        <v>7</v>
      </c>
      <c r="F32" s="6" t="n">
        <v>3</v>
      </c>
      <c r="G32" s="6" t="n">
        <v>191</v>
      </c>
      <c r="H32" s="6" t="n">
        <v>23</v>
      </c>
      <c r="I32" s="5" t="s">
        <v>74</v>
      </c>
      <c r="J32" s="5" t="s">
        <v>84</v>
      </c>
      <c r="K32" s="9" t="n">
        <v>3</v>
      </c>
      <c r="L32" s="5"/>
      <c r="M32" s="5"/>
    </row>
    <row r="33" customFormat="false" ht="15" hidden="false" customHeight="false" outlineLevel="0" collapsed="false">
      <c r="A33" s="5" t="s">
        <v>127</v>
      </c>
      <c r="B33" s="5" t="s">
        <v>81</v>
      </c>
      <c r="C33" s="6" t="n">
        <v>1</v>
      </c>
      <c r="D33" s="6" t="n">
        <v>19</v>
      </c>
      <c r="E33" s="6" t="n">
        <v>10</v>
      </c>
      <c r="F33" s="6" t="n">
        <v>12</v>
      </c>
      <c r="G33" s="6" t="n">
        <v>173</v>
      </c>
      <c r="H33" s="6" t="n">
        <v>275</v>
      </c>
      <c r="I33" s="5" t="s">
        <v>74</v>
      </c>
      <c r="J33" s="5" t="s">
        <v>84</v>
      </c>
      <c r="K33" s="9" t="n">
        <v>3</v>
      </c>
      <c r="L33" s="5"/>
      <c r="M33" s="5"/>
    </row>
    <row r="34" customFormat="false" ht="15" hidden="false" customHeight="false" outlineLevel="0" collapsed="false">
      <c r="A34" s="5" t="s">
        <v>128</v>
      </c>
      <c r="B34" s="5" t="s">
        <v>81</v>
      </c>
      <c r="C34" s="6" t="n">
        <v>1</v>
      </c>
      <c r="D34" s="6" t="n">
        <v>17</v>
      </c>
      <c r="E34" s="6" t="n">
        <v>5</v>
      </c>
      <c r="F34" s="6" t="n">
        <v>10</v>
      </c>
      <c r="G34" s="6" t="n">
        <v>111</v>
      </c>
      <c r="H34" s="6" t="n">
        <v>25</v>
      </c>
      <c r="I34" s="5" t="s">
        <v>74</v>
      </c>
      <c r="J34" s="5" t="s">
        <v>74</v>
      </c>
      <c r="K34" s="9" t="n">
        <v>3</v>
      </c>
      <c r="L34" s="5"/>
      <c r="M34" s="5"/>
    </row>
    <row r="35" customFormat="false" ht="15" hidden="false" customHeight="false" outlineLevel="0" collapsed="false">
      <c r="A35" s="5" t="s">
        <v>129</v>
      </c>
      <c r="B35" s="5" t="s">
        <v>81</v>
      </c>
      <c r="C35" s="6" t="n">
        <v>1</v>
      </c>
      <c r="D35" s="6" t="n">
        <v>30</v>
      </c>
      <c r="E35" s="6" t="n">
        <v>15</v>
      </c>
      <c r="F35" s="6" t="n">
        <v>11</v>
      </c>
      <c r="G35" s="6" t="n">
        <v>310</v>
      </c>
      <c r="H35" s="6" t="n">
        <v>112</v>
      </c>
      <c r="I35" s="5" t="s">
        <v>84</v>
      </c>
      <c r="J35" s="5" t="s">
        <v>84</v>
      </c>
      <c r="K35" s="9" t="n">
        <v>3</v>
      </c>
      <c r="L35" s="5"/>
      <c r="M35" s="5"/>
    </row>
    <row r="36" customFormat="false" ht="15" hidden="false" customHeight="false" outlineLevel="0" collapsed="false">
      <c r="A36" s="5" t="s">
        <v>130</v>
      </c>
      <c r="B36" s="5" t="s">
        <v>131</v>
      </c>
      <c r="C36" s="6" t="n">
        <v>1</v>
      </c>
      <c r="D36" s="6" t="n">
        <v>11</v>
      </c>
      <c r="E36" s="6" t="n">
        <v>0</v>
      </c>
      <c r="F36" s="6" t="n">
        <v>0</v>
      </c>
      <c r="G36" s="6" t="n">
        <v>19</v>
      </c>
      <c r="H36" s="6" t="n">
        <v>0</v>
      </c>
      <c r="I36" s="5" t="s">
        <v>74</v>
      </c>
      <c r="J36" s="5" t="s">
        <v>74</v>
      </c>
      <c r="K36" s="9" t="n">
        <v>3</v>
      </c>
      <c r="L36" s="5"/>
      <c r="M36" s="5" t="s">
        <v>132</v>
      </c>
    </row>
    <row r="37" customFormat="false" ht="15" hidden="false" customHeight="false" outlineLevel="0" collapsed="false">
      <c r="A37" s="5" t="s">
        <v>133</v>
      </c>
      <c r="B37" s="5" t="s">
        <v>81</v>
      </c>
      <c r="C37" s="6" t="n">
        <v>1</v>
      </c>
      <c r="D37" s="6" t="n">
        <v>2</v>
      </c>
      <c r="E37" s="6" t="n">
        <v>7</v>
      </c>
      <c r="F37" s="6" t="n">
        <v>4</v>
      </c>
      <c r="G37" s="6" t="n">
        <v>19</v>
      </c>
      <c r="H37" s="6" t="n">
        <v>0</v>
      </c>
      <c r="I37" s="5" t="s">
        <v>74</v>
      </c>
      <c r="J37" s="5" t="s">
        <v>84</v>
      </c>
      <c r="K37" s="9" t="n">
        <v>3</v>
      </c>
      <c r="L37" s="5"/>
      <c r="M37" s="5"/>
    </row>
    <row r="38" customFormat="false" ht="15" hidden="false" customHeight="false" outlineLevel="0" collapsed="false">
      <c r="A38" s="5" t="s">
        <v>134</v>
      </c>
      <c r="B38" s="5" t="s">
        <v>131</v>
      </c>
      <c r="C38" s="6" t="n">
        <v>1</v>
      </c>
      <c r="D38" s="6" t="n">
        <v>10</v>
      </c>
      <c r="E38" s="6" t="n">
        <v>0</v>
      </c>
      <c r="F38" s="6" t="n">
        <v>0</v>
      </c>
      <c r="G38" s="6" t="n">
        <v>15</v>
      </c>
      <c r="H38" s="6" t="n">
        <v>0</v>
      </c>
      <c r="I38" s="5" t="s">
        <v>74</v>
      </c>
      <c r="J38" s="5" t="s">
        <v>74</v>
      </c>
      <c r="K38" s="9" t="n">
        <v>3</v>
      </c>
      <c r="L38" s="5"/>
      <c r="M38" s="5" t="s">
        <v>132</v>
      </c>
    </row>
    <row r="39" customFormat="false" ht="15" hidden="false" customHeight="false" outlineLevel="0" collapsed="false">
      <c r="A39" s="5" t="s">
        <v>135</v>
      </c>
      <c r="B39" s="5" t="s">
        <v>131</v>
      </c>
      <c r="C39" s="6" t="n">
        <v>1</v>
      </c>
      <c r="D39" s="6" t="n">
        <v>11</v>
      </c>
      <c r="E39" s="6" t="n">
        <v>0</v>
      </c>
      <c r="F39" s="6" t="n">
        <v>0</v>
      </c>
      <c r="G39" s="6" t="n">
        <v>14</v>
      </c>
      <c r="H39" s="6" t="n">
        <v>0</v>
      </c>
      <c r="I39" s="5" t="s">
        <v>74</v>
      </c>
      <c r="J39" s="5" t="s">
        <v>74</v>
      </c>
      <c r="K39" s="9" t="n">
        <v>3</v>
      </c>
      <c r="L39" s="5"/>
      <c r="M39" s="5" t="s">
        <v>132</v>
      </c>
    </row>
    <row r="40" customFormat="false" ht="15" hidden="false" customHeight="false" outlineLevel="0" collapsed="false">
      <c r="A40" s="5" t="s">
        <v>136</v>
      </c>
      <c r="B40" s="5" t="s">
        <v>131</v>
      </c>
      <c r="C40" s="6" t="n">
        <v>1</v>
      </c>
      <c r="D40" s="6" t="n">
        <v>10</v>
      </c>
      <c r="E40" s="6" t="n">
        <v>0</v>
      </c>
      <c r="F40" s="6" t="n">
        <v>0</v>
      </c>
      <c r="G40" s="6" t="n">
        <v>14</v>
      </c>
      <c r="H40" s="6" t="n">
        <v>0</v>
      </c>
      <c r="I40" s="5" t="s">
        <v>74</v>
      </c>
      <c r="J40" s="5" t="s">
        <v>74</v>
      </c>
      <c r="K40" s="9" t="n">
        <v>3</v>
      </c>
      <c r="L40" s="5"/>
      <c r="M40" s="5" t="s">
        <v>132</v>
      </c>
    </row>
    <row r="42" customFormat="false" ht="15" hidden="false" customHeight="false" outlineLevel="0" collapsed="false">
      <c r="A42" s="11" t="s">
        <v>137</v>
      </c>
      <c r="C42" s="12" t="n">
        <f aca="false">SUM(C2:C40)</f>
        <v>39</v>
      </c>
      <c r="D42" s="12" t="n">
        <f aca="false">SUM(D2:D40)</f>
        <v>509</v>
      </c>
      <c r="E42" s="12" t="n">
        <f aca="false">SUM(E2:E40)</f>
        <v>346</v>
      </c>
      <c r="F42" s="12" t="n">
        <f aca="false">SUM(F2:F40)</f>
        <v>352</v>
      </c>
      <c r="G42" s="12" t="n">
        <f aca="false">SUM(G2:G40)</f>
        <v>9738</v>
      </c>
      <c r="H42" s="12" t="n">
        <f aca="false">SUM(H2:H40)</f>
        <v>5760</v>
      </c>
    </row>
    <row r="44" customFormat="false" ht="15" hidden="false" customHeight="false" outlineLevel="0" collapsed="false">
      <c r="A44" s="13" t="s">
        <v>138</v>
      </c>
      <c r="B44" s="0" t="n">
        <f aca="false">COUNTIF(K2:K40,1)</f>
        <v>9</v>
      </c>
    </row>
    <row r="45" customFormat="false" ht="15" hidden="false" customHeight="false" outlineLevel="0" collapsed="false">
      <c r="A45" s="14" t="s">
        <v>139</v>
      </c>
      <c r="B45" s="0" t="n">
        <f aca="false">COUNTIF(K2:K40,2)</f>
        <v>4</v>
      </c>
    </row>
    <row r="46" customFormat="false" ht="15" hidden="false" customHeight="false" outlineLevel="0" collapsed="false">
      <c r="A46" s="15" t="s">
        <v>140</v>
      </c>
      <c r="B46" s="0" t="n">
        <f aca="false">COUNTIF(K2:K40,3)</f>
        <v>26</v>
      </c>
    </row>
  </sheetData>
  <dataValidations count="1">
    <dataValidation allowBlank="true" errorStyle="stop" operator="between" showDropDown="false" showErrorMessage="false" showInputMessage="false" sqref="L2:L40" type="list">
      <formula1>"1 (must),2 (want),3 (skip)"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6" t="s">
        <v>141</v>
      </c>
      <c r="B1" s="16" t="s">
        <v>142</v>
      </c>
      <c r="C1" s="16" t="s">
        <v>72</v>
      </c>
    </row>
    <row r="2" customFormat="false" ht="30" hidden="false" customHeight="true" outlineLevel="0" collapsed="false">
      <c r="A2" s="17" t="s">
        <v>3</v>
      </c>
      <c r="B2" s="18" t="s">
        <v>143</v>
      </c>
      <c r="C2" s="19" t="s">
        <v>144</v>
      </c>
    </row>
    <row r="3" customFormat="false" ht="30" hidden="false" customHeight="true" outlineLevel="0" collapsed="false">
      <c r="A3" s="17" t="s">
        <v>9</v>
      </c>
      <c r="B3" s="18" t="s">
        <v>145</v>
      </c>
      <c r="C3" s="19" t="s">
        <v>146</v>
      </c>
    </row>
    <row r="4" customFormat="false" ht="30" hidden="false" customHeight="true" outlineLevel="0" collapsed="false">
      <c r="A4" s="17" t="s">
        <v>14</v>
      </c>
      <c r="B4" s="18" t="s">
        <v>147</v>
      </c>
      <c r="C4" s="19" t="s">
        <v>148</v>
      </c>
    </row>
    <row r="5" customFormat="false" ht="30" hidden="false" customHeight="true" outlineLevel="0" collapsed="false">
      <c r="A5" s="17" t="s">
        <v>16</v>
      </c>
      <c r="B5" s="18" t="s">
        <v>149</v>
      </c>
      <c r="C5" s="19" t="s">
        <v>150</v>
      </c>
    </row>
    <row r="6" customFormat="false" ht="30" hidden="false" customHeight="true" outlineLevel="0" collapsed="false">
      <c r="A6" s="17" t="s">
        <v>12</v>
      </c>
      <c r="B6" s="18" t="s">
        <v>151</v>
      </c>
      <c r="C6" s="19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2026-05-09T14:38:05Z</dcterms:created>
  <dc:creator>openpyxl</dc:creator>
  <dc:description/>
  <dc:language>en-US</dc:language>
  <cp:lastModifiedBy/>
  <dcterms:modified xsi:type="dcterms:W3CDTF">2026-05-09T14:38:05Z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